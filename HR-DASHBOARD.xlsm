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Swapna\OneDrive\Desktop\Sure_Trust\Projects\excel-project\PROJECT-2\"/>
    </mc:Choice>
  </mc:AlternateContent>
  <xr:revisionPtr revIDLastSave="0" documentId="13_ncr:1_{643DA419-9B6F-4089-9B1B-C14E6F836C17}" xr6:coauthVersionLast="47" xr6:coauthVersionMax="47" xr10:uidLastSave="{00000000-0000-0000-0000-000000000000}"/>
  <bookViews>
    <workbookView xWindow="-120" yWindow="-120" windowWidth="20730" windowHeight="11040" activeTab="3" xr2:uid="{00000000-000D-0000-FFFF-FFFF00000000}"/>
  </bookViews>
  <sheets>
    <sheet name="Instructions" sheetId="3" r:id="rId1"/>
    <sheet name="HELPER" sheetId="6" r:id="rId2"/>
    <sheet name="HR Data" sheetId="1" r:id="rId3"/>
    <sheet name="Dashboard" sheetId="4" r:id="rId4"/>
  </sheets>
  <definedNames>
    <definedName name="_xlnm._FilterDatabase" localSheetId="2" hidden="1">'HR Data'!$A$4:$I$24</definedName>
    <definedName name="Slicer_Department">#N/A</definedName>
    <definedName name="Slicer_Floor_No.">#N/A</definedName>
    <definedName name="Slicer_Wing">#N/A</definedName>
  </definedNames>
  <calcPr calcId="191029"/>
  <pivotCaches>
    <pivotCache cacheId="146"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K34" i="1" l="1"/>
  <c r="K35" i="1"/>
  <c r="K36" i="1"/>
  <c r="K37" i="1"/>
  <c r="K38" i="1"/>
  <c r="K23" i="1"/>
  <c r="K24" i="1"/>
  <c r="K25" i="1"/>
  <c r="K26" i="1"/>
  <c r="K27" i="1"/>
  <c r="K28" i="1"/>
  <c r="K29" i="1"/>
  <c r="K30" i="1"/>
  <c r="K31" i="1"/>
  <c r="K32" i="1"/>
  <c r="K33" i="1"/>
  <c r="K5" i="1"/>
  <c r="K6" i="1"/>
  <c r="K7" i="1"/>
  <c r="K8" i="1"/>
  <c r="K9" i="1"/>
  <c r="K10" i="1"/>
  <c r="K11" i="1"/>
  <c r="K12" i="1"/>
  <c r="K13" i="1"/>
  <c r="K14" i="1"/>
  <c r="K15" i="1"/>
  <c r="K16" i="1"/>
  <c r="K17" i="1"/>
  <c r="K18" i="1"/>
  <c r="K19" i="1"/>
  <c r="K20" i="1"/>
  <c r="K21" i="1"/>
  <c r="K22" i="1"/>
  <c r="K4" i="1"/>
  <c r="F6" i="4"/>
  <c r="D6" i="4"/>
  <c r="B6" i="4"/>
  <c r="M26" i="1"/>
  <c r="M27" i="1"/>
  <c r="M28" i="1"/>
  <c r="M29" i="1"/>
  <c r="M30" i="1"/>
  <c r="M31" i="1"/>
  <c r="M32" i="1"/>
  <c r="M33" i="1"/>
  <c r="M34" i="1"/>
  <c r="M35" i="1"/>
  <c r="M36" i="1"/>
  <c r="M37" i="1"/>
  <c r="M38" i="1"/>
  <c r="M17" i="1"/>
  <c r="M18" i="1"/>
  <c r="M19" i="1"/>
  <c r="M20" i="1"/>
  <c r="M21" i="1"/>
  <c r="M22" i="1"/>
  <c r="M23" i="1"/>
  <c r="M24" i="1"/>
  <c r="M25" i="1"/>
  <c r="M5" i="1"/>
  <c r="M6" i="1"/>
  <c r="M7" i="1"/>
  <c r="M8" i="1"/>
  <c r="M9" i="1"/>
  <c r="M10" i="1"/>
  <c r="M11" i="1"/>
  <c r="M12" i="1"/>
  <c r="M13" i="1"/>
  <c r="M14" i="1"/>
  <c r="M15" i="1"/>
  <c r="M16" i="1"/>
  <c r="M4" i="1"/>
  <c r="L34" i="1"/>
  <c r="L35" i="1"/>
  <c r="L36" i="1"/>
  <c r="L37" i="1"/>
  <c r="L38" i="1"/>
  <c r="L22" i="1"/>
  <c r="L23" i="1"/>
  <c r="L24" i="1"/>
  <c r="L25" i="1"/>
  <c r="L26" i="1"/>
  <c r="L27" i="1"/>
  <c r="L28" i="1"/>
  <c r="L29" i="1"/>
  <c r="L30" i="1"/>
  <c r="L31" i="1"/>
  <c r="L32" i="1"/>
  <c r="L33" i="1"/>
  <c r="L5" i="1"/>
  <c r="L6" i="1"/>
  <c r="L7" i="1"/>
  <c r="L8" i="1"/>
  <c r="L9" i="1"/>
  <c r="L10" i="1"/>
  <c r="L11" i="1"/>
  <c r="L12" i="1"/>
  <c r="L13" i="1"/>
  <c r="L14" i="1"/>
  <c r="L15" i="1"/>
  <c r="L16" i="1"/>
  <c r="L17" i="1"/>
  <c r="L18" i="1"/>
  <c r="L19" i="1"/>
  <c r="L20" i="1"/>
  <c r="L21" i="1"/>
  <c r="L4" i="1"/>
  <c r="G33" i="1"/>
  <c r="G34" i="1"/>
  <c r="G35" i="1"/>
  <c r="G36" i="1"/>
  <c r="G37" i="1"/>
  <c r="G38" i="1"/>
  <c r="G23" i="1"/>
  <c r="G24" i="1"/>
  <c r="G25" i="1"/>
  <c r="G26" i="1"/>
  <c r="G27" i="1"/>
  <c r="G28" i="1"/>
  <c r="G29" i="1"/>
  <c r="G30" i="1"/>
  <c r="G31" i="1"/>
  <c r="G32" i="1"/>
  <c r="G5" i="1"/>
  <c r="G6" i="1"/>
  <c r="G7" i="1"/>
  <c r="G8" i="1"/>
  <c r="G9" i="1"/>
  <c r="G10" i="1"/>
  <c r="G11" i="1"/>
  <c r="G12" i="1"/>
  <c r="G13" i="1"/>
  <c r="G14" i="1"/>
  <c r="G15" i="1"/>
  <c r="G16" i="1"/>
  <c r="G17" i="1"/>
  <c r="G18" i="1"/>
  <c r="G19" i="1"/>
  <c r="G20" i="1"/>
  <c r="G21" i="1"/>
  <c r="G22" i="1"/>
  <c r="G4" i="1"/>
  <c r="F32" i="1"/>
  <c r="F33" i="1"/>
  <c r="F34" i="1"/>
  <c r="F35" i="1"/>
  <c r="F36" i="1"/>
  <c r="F37" i="1"/>
  <c r="F38" i="1"/>
  <c r="F22" i="1"/>
  <c r="F23" i="1"/>
  <c r="F24" i="1"/>
  <c r="F25" i="1"/>
  <c r="F26" i="1"/>
  <c r="F27" i="1"/>
  <c r="F28" i="1"/>
  <c r="F29" i="1"/>
  <c r="F30" i="1"/>
  <c r="F31" i="1"/>
  <c r="F5" i="1"/>
  <c r="F6" i="1"/>
  <c r="F7" i="1"/>
  <c r="F8" i="1"/>
  <c r="F9" i="1"/>
  <c r="F10" i="1"/>
  <c r="F11" i="1"/>
  <c r="F12" i="1"/>
  <c r="F13" i="1"/>
  <c r="F14" i="1"/>
  <c r="F15" i="1"/>
  <c r="F16" i="1"/>
  <c r="F17" i="1"/>
  <c r="F18" i="1"/>
  <c r="F19" i="1"/>
  <c r="F20" i="1"/>
  <c r="F21" i="1"/>
  <c r="F4" i="1"/>
  <c r="C29" i="1"/>
  <c r="C30" i="1"/>
  <c r="C31" i="1"/>
  <c r="C32" i="1"/>
  <c r="C33" i="1"/>
  <c r="C34" i="1"/>
  <c r="C35" i="1"/>
  <c r="C36" i="1"/>
  <c r="C37" i="1"/>
  <c r="C38" i="1"/>
  <c r="C17" i="1"/>
  <c r="C18" i="1"/>
  <c r="C19" i="1"/>
  <c r="C20" i="1"/>
  <c r="C21" i="1"/>
  <c r="C22" i="1"/>
  <c r="C23" i="1"/>
  <c r="C24" i="1"/>
  <c r="C25" i="1"/>
  <c r="C26" i="1"/>
  <c r="C27" i="1"/>
  <c r="C28" i="1"/>
  <c r="C5" i="1"/>
  <c r="C6" i="1"/>
  <c r="C7" i="1"/>
  <c r="C8" i="1"/>
  <c r="C9" i="1"/>
  <c r="C10" i="1"/>
  <c r="C11" i="1"/>
  <c r="C12" i="1"/>
  <c r="C13" i="1"/>
  <c r="C14" i="1"/>
  <c r="C15" i="1"/>
  <c r="C16" i="1"/>
  <c r="C4" i="1"/>
  <c r="H6" i="4" l="1"/>
</calcChain>
</file>

<file path=xl/sharedStrings.xml><?xml version="1.0" encoding="utf-8"?>
<sst xmlns="http://schemas.openxmlformats.org/spreadsheetml/2006/main" count="251" uniqueCount="170">
  <si>
    <t>Emp ID</t>
  </si>
  <si>
    <t>Full Name</t>
  </si>
  <si>
    <t>Email</t>
  </si>
  <si>
    <t>Date of Hire</t>
  </si>
  <si>
    <t>Department</t>
  </si>
  <si>
    <t>Location</t>
  </si>
  <si>
    <t>DECKER</t>
  </si>
  <si>
    <t>BARRY</t>
  </si>
  <si>
    <t>COLE</t>
  </si>
  <si>
    <t>Daniel</t>
  </si>
  <si>
    <t>CHAFFEE</t>
  </si>
  <si>
    <t>Adam</t>
  </si>
  <si>
    <t>Facilities</t>
  </si>
  <si>
    <t>DONNELL</t>
  </si>
  <si>
    <t>Susan</t>
  </si>
  <si>
    <t>Accounting</t>
  </si>
  <si>
    <t>Elizabeth</t>
  </si>
  <si>
    <t>Human Resources</t>
  </si>
  <si>
    <t>ELLIS</t>
  </si>
  <si>
    <t>Janet</t>
  </si>
  <si>
    <t>CHUNG</t>
  </si>
  <si>
    <t>Bob</t>
  </si>
  <si>
    <t>FLANDERS</t>
  </si>
  <si>
    <t>Sabrina</t>
  </si>
  <si>
    <t>CLARK</t>
  </si>
  <si>
    <t>BOLLER</t>
  </si>
  <si>
    <t>Mary</t>
  </si>
  <si>
    <t>CAROL</t>
  </si>
  <si>
    <t>Executive</t>
  </si>
  <si>
    <t>Joe</t>
  </si>
  <si>
    <t>Customer Service</t>
  </si>
  <si>
    <t>COMUNTZIS</t>
  </si>
  <si>
    <t>Mark</t>
  </si>
  <si>
    <t>FILOSA</t>
  </si>
  <si>
    <t>Alexandra</t>
  </si>
  <si>
    <t>FERRIS</t>
  </si>
  <si>
    <t>Jim</t>
  </si>
  <si>
    <t>CHU</t>
  </si>
  <si>
    <t>Fred</t>
  </si>
  <si>
    <t>BINGA</t>
  </si>
  <si>
    <t>DESIATO</t>
  </si>
  <si>
    <t>Barbara</t>
  </si>
  <si>
    <t>Tina</t>
  </si>
  <si>
    <t>Carlton</t>
  </si>
  <si>
    <t>Samantha</t>
  </si>
  <si>
    <t>Chairs</t>
  </si>
  <si>
    <t>Mihael</t>
  </si>
  <si>
    <t>Khan</t>
  </si>
  <si>
    <t>Phoebe</t>
  </si>
  <si>
    <t>Gour</t>
  </si>
  <si>
    <t>Leighton</t>
  </si>
  <si>
    <t>Forrest</t>
  </si>
  <si>
    <t>Natasha</t>
  </si>
  <si>
    <t>Song</t>
  </si>
  <si>
    <t>Aanya</t>
  </si>
  <si>
    <t>Zhang</t>
  </si>
  <si>
    <t>Connor</t>
  </si>
  <si>
    <t>Betts</t>
  </si>
  <si>
    <t>Yvette</t>
  </si>
  <si>
    <t>Biti</t>
  </si>
  <si>
    <t>Charlie</t>
  </si>
  <si>
    <t>Bui</t>
  </si>
  <si>
    <t>Stevie</t>
  </si>
  <si>
    <t>Nicholas</t>
  </si>
  <si>
    <t>Fernandes</t>
  </si>
  <si>
    <t>Radhya</t>
  </si>
  <si>
    <t>Staples</t>
  </si>
  <si>
    <t>Preston</t>
  </si>
  <si>
    <t>Senome</t>
  </si>
  <si>
    <t>Sales</t>
  </si>
  <si>
    <t>Eric</t>
  </si>
  <si>
    <t>Mei</t>
  </si>
  <si>
    <t>WANG</t>
  </si>
  <si>
    <t>ANNA</t>
  </si>
  <si>
    <t>Sean</t>
  </si>
  <si>
    <t>SANDERS</t>
  </si>
  <si>
    <t>elizabeth</t>
  </si>
  <si>
    <t>IT</t>
  </si>
  <si>
    <t>Uma</t>
  </si>
  <si>
    <t>CHAUDRI</t>
  </si>
  <si>
    <t>Wing</t>
  </si>
  <si>
    <t>ZenCo HR Database</t>
  </si>
  <si>
    <t>Bacata</t>
  </si>
  <si>
    <t>02-West-2635 </t>
  </si>
  <si>
    <t>02-West-2018 </t>
  </si>
  <si>
    <t>02-NorthEast-2347 </t>
  </si>
  <si>
    <t>03-West-2764 </t>
  </si>
  <si>
    <t>03-East-2318 </t>
  </si>
  <si>
    <t>02-East-2694 </t>
  </si>
  <si>
    <t>02-West-2699 </t>
  </si>
  <si>
    <t>01-East-2321 </t>
  </si>
  <si>
    <t>03-West-2432 </t>
  </si>
  <si>
    <t>02-West-2962 </t>
  </si>
  <si>
    <t>01-West-2425 </t>
  </si>
  <si>
    <t>03-West-2796 </t>
  </si>
  <si>
    <t>03-West-2601 </t>
  </si>
  <si>
    <t>02-NorthEast-2414 </t>
  </si>
  <si>
    <t>02-West-2537 </t>
  </si>
  <si>
    <t>02-West-2286 </t>
  </si>
  <si>
    <t>01-East-2358 </t>
  </si>
  <si>
    <t>03-West-2082 </t>
  </si>
  <si>
    <t>03-NorthEast-2482 </t>
  </si>
  <si>
    <t>02-East-2372 </t>
  </si>
  <si>
    <t>03-East-2392 </t>
  </si>
  <si>
    <t>02-West-2279 </t>
  </si>
  <si>
    <t>02-East-2639 </t>
  </si>
  <si>
    <t>02-East-2284 </t>
  </si>
  <si>
    <t>02-East-2910 </t>
  </si>
  <si>
    <t>02-NorthEast-2294 </t>
  </si>
  <si>
    <t>03-West-2765 </t>
  </si>
  <si>
    <t>02-East-2260 </t>
  </si>
  <si>
    <t>02-East-2578 </t>
  </si>
  <si>
    <t>02-East-2654 </t>
  </si>
  <si>
    <t>01-West-2783 </t>
  </si>
  <si>
    <t>02-East-2793 </t>
  </si>
  <si>
    <t>02-West-2589 _x001F_</t>
  </si>
  <si>
    <t>03-East-2134 _x001F_</t>
  </si>
  <si>
    <t>01-East-2086 _x001F_</t>
  </si>
  <si>
    <t>Instructions</t>
  </si>
  <si>
    <t>1)</t>
  </si>
  <si>
    <t>b)</t>
  </si>
  <si>
    <t>2)</t>
  </si>
  <si>
    <t>Hint</t>
  </si>
  <si>
    <t>Floor No.</t>
  </si>
  <si>
    <t>Last Name</t>
  </si>
  <si>
    <t>First Name</t>
  </si>
  <si>
    <t>Full/Part Time</t>
  </si>
  <si>
    <t>F</t>
  </si>
  <si>
    <t>P</t>
  </si>
  <si>
    <t>Emp No.</t>
  </si>
  <si>
    <t>5a)</t>
  </si>
  <si>
    <t>6a)</t>
  </si>
  <si>
    <t>3a)</t>
  </si>
  <si>
    <t>4a)</t>
  </si>
  <si>
    <t>You will notice that instead of getting four numbers you only got 3 or in some cases 2, adjust the formula so that you get the 4 digit extension code in each case.</t>
  </si>
  <si>
    <t xml:space="preserve">Extension </t>
  </si>
  <si>
    <t>The finished sheet should look like this:</t>
  </si>
  <si>
    <t>Week 1 Practice Challenge</t>
  </si>
  <si>
    <r>
      <t xml:space="preserve">All the following instructions are to be carried out in the </t>
    </r>
    <r>
      <rPr>
        <b/>
        <sz val="11"/>
        <color theme="1"/>
        <rFont val="Calibri"/>
        <family val="2"/>
        <scheme val="minor"/>
      </rPr>
      <t>HR Data</t>
    </r>
    <r>
      <rPr>
        <sz val="11"/>
        <color theme="1"/>
        <rFont val="Calibri"/>
        <family val="2"/>
        <scheme val="minor"/>
      </rPr>
      <t xml:space="preserve"> sheet. To get help with the more difficult questions click on the </t>
    </r>
    <r>
      <rPr>
        <b/>
        <sz val="11"/>
        <color theme="1"/>
        <rFont val="Calibri"/>
        <family val="2"/>
        <scheme val="minor"/>
      </rPr>
      <t>Hint</t>
    </r>
    <r>
      <rPr>
        <sz val="11"/>
        <color theme="1"/>
        <rFont val="Calibri"/>
        <family val="2"/>
        <scheme val="minor"/>
      </rPr>
      <t xml:space="preserve"> to the right.</t>
    </r>
  </si>
  <si>
    <r>
      <t xml:space="preserve">In </t>
    </r>
    <r>
      <rPr>
        <b/>
        <sz val="11"/>
        <color theme="1"/>
        <rFont val="Calibri"/>
        <family val="2"/>
        <scheme val="minor"/>
      </rPr>
      <t>C4</t>
    </r>
    <r>
      <rPr>
        <sz val="11"/>
        <color theme="1"/>
        <rFont val="Calibri"/>
        <family val="2"/>
        <scheme val="minor"/>
      </rPr>
      <t xml:space="preserve">, in the HR Data sheet join the data in </t>
    </r>
    <r>
      <rPr>
        <b/>
        <sz val="11"/>
        <color theme="1"/>
        <rFont val="Calibri"/>
        <family val="2"/>
        <scheme val="minor"/>
      </rPr>
      <t>A4</t>
    </r>
    <r>
      <rPr>
        <sz val="11"/>
        <color theme="1"/>
        <rFont val="Calibri"/>
        <family val="2"/>
        <scheme val="minor"/>
      </rPr>
      <t xml:space="preserve"> and </t>
    </r>
    <r>
      <rPr>
        <b/>
        <sz val="11"/>
        <color theme="1"/>
        <rFont val="Calibri"/>
        <family val="2"/>
        <scheme val="minor"/>
      </rPr>
      <t>B4</t>
    </r>
    <r>
      <rPr>
        <sz val="11"/>
        <color theme="1"/>
        <rFont val="Calibri"/>
        <family val="2"/>
        <scheme val="minor"/>
      </rPr>
      <t xml:space="preserve"> to create the employee ID </t>
    </r>
    <r>
      <rPr>
        <b/>
        <sz val="11"/>
        <color theme="1"/>
        <rFont val="Calibri"/>
        <family val="2"/>
        <scheme val="minor"/>
      </rPr>
      <t>F1180</t>
    </r>
    <r>
      <rPr>
        <sz val="11"/>
        <color theme="1"/>
        <rFont val="Calibri"/>
        <family val="2"/>
        <scheme val="minor"/>
      </rPr>
      <t>. Copy the formula down for the rest of the staff.</t>
    </r>
  </si>
  <si>
    <r>
      <t xml:space="preserve">In </t>
    </r>
    <r>
      <rPr>
        <b/>
        <sz val="11"/>
        <color theme="1"/>
        <rFont val="Calibri"/>
        <family val="2"/>
        <scheme val="minor"/>
      </rPr>
      <t>F4</t>
    </r>
    <r>
      <rPr>
        <sz val="11"/>
        <color theme="1"/>
        <rFont val="Calibri"/>
        <family val="2"/>
        <scheme val="minor"/>
      </rPr>
      <t>, generate the full name for each staff member by joining the first name, a space and the surname.</t>
    </r>
  </si>
  <si>
    <r>
      <t xml:space="preserve">Adjust the formula in </t>
    </r>
    <r>
      <rPr>
        <b/>
        <sz val="11"/>
        <color theme="1"/>
        <rFont val="Calibri"/>
        <family val="2"/>
        <scheme val="minor"/>
      </rPr>
      <t>L4</t>
    </r>
    <r>
      <rPr>
        <sz val="11"/>
        <color theme="1"/>
        <rFont val="Calibri"/>
        <family val="2"/>
        <scheme val="minor"/>
      </rPr>
      <t xml:space="preserve"> so that all instances of </t>
    </r>
    <r>
      <rPr>
        <b/>
        <sz val="11"/>
        <color theme="1"/>
        <rFont val="Calibri"/>
        <family val="2"/>
        <scheme val="minor"/>
      </rPr>
      <t>NorthEast</t>
    </r>
    <r>
      <rPr>
        <sz val="11"/>
        <color theme="1"/>
        <rFont val="Calibri"/>
        <family val="2"/>
        <scheme val="minor"/>
      </rPr>
      <t xml:space="preserve"> are replaced with just </t>
    </r>
    <r>
      <rPr>
        <b/>
        <sz val="11"/>
        <color theme="1"/>
        <rFont val="Calibri"/>
        <family val="2"/>
        <scheme val="minor"/>
      </rPr>
      <t>North</t>
    </r>
    <r>
      <rPr>
        <sz val="11"/>
        <color theme="1"/>
        <rFont val="Calibri"/>
        <family val="2"/>
        <scheme val="minor"/>
      </rPr>
      <t xml:space="preserve"> and copy down again.</t>
    </r>
  </si>
  <si>
    <r>
      <t xml:space="preserve">In </t>
    </r>
    <r>
      <rPr>
        <b/>
        <sz val="11"/>
        <color theme="1"/>
        <rFont val="Calibri"/>
        <family val="2"/>
        <scheme val="minor"/>
      </rPr>
      <t>G4</t>
    </r>
    <r>
      <rPr>
        <sz val="11"/>
        <color theme="1"/>
        <rFont val="Calibri"/>
        <family val="2"/>
        <scheme val="minor"/>
      </rPr>
      <t>, generate an email address by joining  the first letter of the first name, the surname and "@zenco.com" to get Sbacata@zenco.com.</t>
    </r>
  </si>
  <si>
    <r>
      <t xml:space="preserve">In </t>
    </r>
    <r>
      <rPr>
        <b/>
        <sz val="11"/>
        <color theme="1"/>
        <rFont val="Calibri"/>
        <family val="2"/>
        <scheme val="minor"/>
      </rPr>
      <t>L4</t>
    </r>
    <r>
      <rPr>
        <sz val="11"/>
        <color theme="1"/>
        <rFont val="Calibri"/>
        <family val="2"/>
        <scheme val="minor"/>
      </rPr>
      <t>, extract the text between the two dashes (</t>
    </r>
    <r>
      <rPr>
        <b/>
        <sz val="11"/>
        <color theme="1"/>
        <rFont val="Calibri"/>
        <family val="2"/>
        <scheme val="minor"/>
      </rPr>
      <t>West</t>
    </r>
    <r>
      <rPr>
        <sz val="11"/>
        <color theme="1"/>
        <rFont val="Calibri"/>
        <family val="2"/>
        <scheme val="minor"/>
      </rPr>
      <t>) in Location then copy down to make sure it works for all staff.</t>
    </r>
  </si>
  <si>
    <r>
      <t xml:space="preserve">In </t>
    </r>
    <r>
      <rPr>
        <b/>
        <sz val="11"/>
        <color theme="1"/>
        <rFont val="Calibri"/>
        <family val="2"/>
        <scheme val="minor"/>
      </rPr>
      <t>M4</t>
    </r>
    <r>
      <rPr>
        <sz val="11"/>
        <color theme="1"/>
        <rFont val="Calibri"/>
        <family val="2"/>
        <scheme val="minor"/>
      </rPr>
      <t xml:space="preserve">, extract the last 4 characters from the </t>
    </r>
    <r>
      <rPr>
        <b/>
        <sz val="11"/>
        <color theme="1"/>
        <rFont val="Calibri"/>
        <family val="2"/>
        <scheme val="minor"/>
      </rPr>
      <t>Location</t>
    </r>
    <r>
      <rPr>
        <sz val="11"/>
        <color theme="1"/>
        <rFont val="Calibri"/>
        <family val="2"/>
        <scheme val="minor"/>
      </rPr>
      <t xml:space="preserve"> in </t>
    </r>
    <r>
      <rPr>
        <b/>
        <sz val="11"/>
        <color theme="1"/>
        <rFont val="Calibri"/>
        <family val="2"/>
        <scheme val="minor"/>
      </rPr>
      <t>J4</t>
    </r>
    <r>
      <rPr>
        <sz val="11"/>
        <color theme="1"/>
        <rFont val="Calibri"/>
        <family val="2"/>
        <scheme val="minor"/>
      </rPr>
      <t>.</t>
    </r>
  </si>
  <si>
    <r>
      <t xml:space="preserve">In </t>
    </r>
    <r>
      <rPr>
        <b/>
        <sz val="11"/>
        <color theme="1"/>
        <rFont val="Calibri"/>
        <family val="2"/>
        <scheme val="minor"/>
      </rPr>
      <t>K4</t>
    </r>
    <r>
      <rPr>
        <sz val="11"/>
        <color theme="1"/>
        <rFont val="Calibri"/>
        <family val="2"/>
        <scheme val="minor"/>
      </rPr>
      <t xml:space="preserve">, extract just the floor number from </t>
    </r>
    <r>
      <rPr>
        <b/>
        <sz val="11"/>
        <color theme="1"/>
        <rFont val="Calibri"/>
        <family val="2"/>
        <scheme val="minor"/>
      </rPr>
      <t>J4</t>
    </r>
    <r>
      <rPr>
        <sz val="11"/>
        <color theme="1"/>
        <rFont val="Calibri"/>
        <family val="2"/>
        <scheme val="minor"/>
      </rPr>
      <t xml:space="preserve"> (first 2 numbers) and then copy it down.</t>
    </r>
  </si>
  <si>
    <r>
      <t xml:space="preserve">Add another function to the calculation in </t>
    </r>
    <r>
      <rPr>
        <b/>
        <sz val="11"/>
        <color theme="1"/>
        <rFont val="Calibri"/>
        <family val="2"/>
        <scheme val="minor"/>
      </rPr>
      <t>F4</t>
    </r>
    <r>
      <rPr>
        <sz val="11"/>
        <color theme="1"/>
        <rFont val="Calibri"/>
        <family val="2"/>
        <scheme val="minor"/>
      </rPr>
      <t xml:space="preserve"> so that all the names show in Proper case and then copy the calculation down.</t>
    </r>
  </si>
  <si>
    <r>
      <t xml:space="preserve">Adjust the calculation in </t>
    </r>
    <r>
      <rPr>
        <b/>
        <sz val="11"/>
        <color theme="1"/>
        <rFont val="Calibri"/>
        <family val="2"/>
        <scheme val="minor"/>
      </rPr>
      <t>G4</t>
    </r>
    <r>
      <rPr>
        <sz val="11"/>
        <color theme="1"/>
        <rFont val="Calibri"/>
        <family val="2"/>
        <scheme val="minor"/>
      </rPr>
      <t xml:space="preserve"> so that the email is shown in all lower case and copy it down.</t>
    </r>
  </si>
  <si>
    <t>Excel Skills for Data Analytics and Visualization</t>
  </si>
  <si>
    <t>Course 1 — Excel Fundamentals for Data Analysis</t>
  </si>
  <si>
    <t xml:space="preserve">7) </t>
  </si>
  <si>
    <t>Make  one Macro enabled Dashboard .</t>
  </si>
  <si>
    <t>Total Employees</t>
  </si>
  <si>
    <t>Full-Time</t>
  </si>
  <si>
    <t>Part-Time</t>
  </si>
  <si>
    <t>Avg Floor</t>
  </si>
  <si>
    <t>HR DASHBOARD</t>
  </si>
  <si>
    <t>Row Labels</t>
  </si>
  <si>
    <t>Grand Total</t>
  </si>
  <si>
    <t>West</t>
  </si>
  <si>
    <t>East</t>
  </si>
  <si>
    <t>North</t>
  </si>
  <si>
    <t>Count of Emp ID</t>
  </si>
  <si>
    <t>Employees by Department</t>
  </si>
  <si>
    <t>Employees by Wing</t>
  </si>
  <si>
    <t>Employees by Floor</t>
  </si>
  <si>
    <t>EMPLOYEES BY FLOOR</t>
  </si>
  <si>
    <t>EMPLOYEES BY DEPARTMENT</t>
  </si>
  <si>
    <t>EMPLOYEES BY WING</t>
  </si>
  <si>
    <t>FILTERS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</si>
</sst>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8"/>
      <color theme="3"/>
      <name val="Calibri Light"/>
      <family val="2"/>
      <scheme val="major"/>
    </font>
    <font>
      <sz val="11"/>
      <color theme="0"/>
      <name val="Calibri"/>
      <family val="2"/>
      <scheme val="minor"/>
    </font>
    <font>
      <sz val="11"/>
      <name val="Calibri"/>
      <family val="2"/>
      <scheme val="minor"/>
    </font>
    <font>
      <sz val="12"/>
      <color theme="0"/>
      <name val="Calibri"/>
      <family val="2"/>
      <scheme val="minor"/>
    </font>
    <font>
      <sz val="11"/>
      <color rgb="FF000000"/>
      <name val="Calibri"/>
      <family val="2"/>
      <scheme val="minor"/>
    </font>
    <font>
      <b/>
      <sz val="11"/>
      <color theme="1"/>
      <name val="Calibri"/>
      <family val="2"/>
      <scheme val="minor"/>
    </font>
    <font>
      <sz val="14"/>
      <color theme="1"/>
      <name val="Calibri"/>
      <family val="2"/>
      <scheme val="minor"/>
    </font>
    <font>
      <sz val="16"/>
      <color theme="1"/>
      <name val="Calibri"/>
      <family val="2"/>
      <scheme val="minor"/>
    </font>
    <font>
      <sz val="24"/>
      <color theme="1"/>
      <name val="Calibri"/>
      <family val="2"/>
      <scheme val="minor"/>
    </font>
    <font>
      <b/>
      <sz val="14"/>
      <color theme="1"/>
      <name val="Calibri"/>
      <family val="2"/>
      <scheme val="minor"/>
    </font>
    <font>
      <sz val="11"/>
      <color rgb="FFC00000"/>
      <name val="Calibri"/>
      <family val="2"/>
      <scheme val="minor"/>
    </font>
    <font>
      <b/>
      <sz val="26"/>
      <color theme="1"/>
      <name val="Calibri"/>
      <family val="2"/>
      <scheme val="minor"/>
    </font>
    <font>
      <b/>
      <sz val="16"/>
      <color theme="1"/>
      <name val="Calibri"/>
      <family val="2"/>
      <scheme val="minor"/>
    </font>
    <font>
      <sz val="26"/>
      <color theme="7" tint="-0.499984740745262"/>
      <name val="Calibri"/>
      <family val="2"/>
      <scheme val="minor"/>
    </font>
    <font>
      <sz val="11"/>
      <color theme="6" tint="-0.249977111117893"/>
      <name val="Calibri"/>
      <family val="2"/>
      <scheme val="minor"/>
    </font>
    <font>
      <b/>
      <u/>
      <sz val="14"/>
      <color theme="1"/>
      <name val="Calibri"/>
      <family val="2"/>
      <scheme val="minor"/>
    </font>
  </fonts>
  <fills count="8">
    <fill>
      <patternFill patternType="none"/>
    </fill>
    <fill>
      <patternFill patternType="gray125"/>
    </fill>
    <fill>
      <patternFill patternType="solid">
        <fgColor theme="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7" tint="0.79998168889431442"/>
        <bgColor indexed="64"/>
      </patternFill>
    </fill>
  </fills>
  <borders count="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0" fontId="2" fillId="2" borderId="0" applyNumberFormat="0" applyBorder="0" applyAlignment="0" applyProtection="0"/>
  </cellStyleXfs>
  <cellXfs count="31">
    <xf numFmtId="0" fontId="0" fillId="0" borderId="0" xfId="0"/>
    <xf numFmtId="14" fontId="0" fillId="0" borderId="0" xfId="0" applyNumberFormat="1"/>
    <xf numFmtId="0" fontId="3" fillId="0" borderId="0" xfId="0" applyFont="1" applyAlignment="1">
      <alignment horizontal="left" wrapText="1"/>
    </xf>
    <xf numFmtId="0" fontId="1" fillId="0" borderId="0" xfId="1"/>
    <xf numFmtId="0" fontId="4" fillId="2" borderId="0" xfId="2" applyFont="1" applyBorder="1" applyAlignment="1">
      <alignment horizontal="left" wrapText="1"/>
    </xf>
    <xf numFmtId="0" fontId="5" fillId="0" borderId="0" xfId="0" applyFont="1" applyAlignment="1">
      <alignment wrapText="1"/>
    </xf>
    <xf numFmtId="0" fontId="0" fillId="0" borderId="1" xfId="0" applyBorder="1"/>
    <xf numFmtId="0" fontId="0" fillId="0" borderId="0" xfId="0" applyAlignment="1">
      <alignment horizontal="right"/>
    </xf>
    <xf numFmtId="0" fontId="11" fillId="0" borderId="0" xfId="0" applyFont="1" applyAlignment="1">
      <alignment horizontal="right"/>
    </xf>
    <xf numFmtId="0" fontId="1" fillId="0" borderId="0" xfId="1" applyAlignment="1">
      <alignment horizontal="left"/>
    </xf>
    <xf numFmtId="0" fontId="0" fillId="0" borderId="0" xfId="0" applyAlignment="1">
      <alignment horizontal="left"/>
    </xf>
    <xf numFmtId="0" fontId="7" fillId="0" borderId="1" xfId="0" applyFont="1" applyBorder="1" applyAlignment="1">
      <alignment horizontal="left"/>
    </xf>
    <xf numFmtId="0" fontId="10" fillId="3" borderId="0" xfId="0" applyFont="1" applyFill="1" applyAlignment="1">
      <alignment horizontal="center" vertical="center"/>
    </xf>
    <xf numFmtId="0" fontId="9" fillId="0" borderId="0" xfId="0" applyFont="1" applyAlignment="1">
      <alignment horizontal="center"/>
    </xf>
    <xf numFmtId="0" fontId="8" fillId="0" borderId="0" xfId="0" applyFont="1" applyAlignment="1">
      <alignment horizontal="center"/>
    </xf>
    <xf numFmtId="0" fontId="6" fillId="0" borderId="0" xfId="0" applyFont="1"/>
    <xf numFmtId="0" fontId="12" fillId="5" borderId="0" xfId="0" applyFont="1" applyFill="1"/>
    <xf numFmtId="0" fontId="0" fillId="5" borderId="0" xfId="0" applyFill="1"/>
    <xf numFmtId="0" fontId="0" fillId="5" borderId="0" xfId="0" applyFill="1" applyAlignment="1">
      <alignment horizontal="center"/>
    </xf>
    <xf numFmtId="0" fontId="9" fillId="5" borderId="0" xfId="0" applyFont="1" applyFill="1" applyAlignment="1">
      <alignment horizontal="center"/>
    </xf>
    <xf numFmtId="0" fontId="13" fillId="5" borderId="0" xfId="0" applyFont="1" applyFill="1" applyAlignment="1">
      <alignment horizontal="center"/>
    </xf>
    <xf numFmtId="0" fontId="0" fillId="6" borderId="0" xfId="0" applyFill="1"/>
    <xf numFmtId="0" fontId="13" fillId="4" borderId="2" xfId="0" applyFont="1" applyFill="1" applyBorder="1" applyAlignment="1">
      <alignment horizontal="center"/>
    </xf>
    <xf numFmtId="0" fontId="14" fillId="6" borderId="2" xfId="0" applyFont="1" applyFill="1" applyBorder="1" applyAlignment="1">
      <alignment horizontal="center"/>
    </xf>
    <xf numFmtId="0" fontId="0" fillId="0" borderId="0" xfId="0" applyNumberFormat="1"/>
    <xf numFmtId="0" fontId="0" fillId="0" borderId="0" xfId="0" pivotButton="1"/>
    <xf numFmtId="0" fontId="16" fillId="5" borderId="0" xfId="0" applyFont="1" applyFill="1" applyAlignment="1">
      <alignment horizontal="center"/>
    </xf>
    <xf numFmtId="0" fontId="10" fillId="7" borderId="2" xfId="0" applyFont="1" applyFill="1" applyBorder="1" applyAlignment="1">
      <alignment horizontal="center"/>
    </xf>
    <xf numFmtId="0" fontId="16" fillId="5" borderId="0" xfId="0" applyFont="1" applyFill="1"/>
    <xf numFmtId="0" fontId="15" fillId="5" borderId="0" xfId="0" applyFont="1" applyFill="1" applyAlignment="1"/>
    <xf numFmtId="0" fontId="13" fillId="5" borderId="0" xfId="0" applyFont="1" applyFill="1"/>
  </cellXfs>
  <cellStyles count="3">
    <cellStyle name="Accent1" xfId="2" builtinId="29"/>
    <cellStyle name="Normal" xfId="0" builtinId="0"/>
    <cellStyle name="Title" xfId="1" builtinId="15"/>
  </cellStyles>
  <dxfs count="0"/>
  <tableStyles count="1" defaultTableStyle="TableStyleMedium2" defaultPivotStyle="PivotStyleLight16">
    <tableStyle name="Invisible" pivot="0" table="0" count="0" xr9:uid="{C7AB5486-B880-4551-9DA1-A17A715336B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[HR-DASHBOARD.xlsm]HELPER!PivotTable1</c:name>
    <c:fmtId val="2"/>
  </c:pivotSource>
  <c:chart>
    <c:title>
      <c:overlay val="0"/>
      <c:spPr>
        <a:gradFill rotWithShape="1">
          <a:gsLst>
            <a:gs pos="0">
              <a:schemeClr val="accent2">
                <a:tint val="83000"/>
                <a:satMod val="100000"/>
                <a:lumMod val="100000"/>
              </a:schemeClr>
            </a:gs>
            <a:gs pos="100000">
              <a:schemeClr val="accent2">
                <a:tint val="61000"/>
                <a:satMod val="150000"/>
                <a:lumMod val="100000"/>
              </a:schemeClr>
            </a:gs>
          </a:gsLst>
          <a:path path="circle">
            <a:fillToRect l="100000" t="100000" r="100000" b="100000"/>
          </a:path>
        </a:gradFill>
        <a:ln w="9525" cap="flat" cmpd="sng" algn="ctr">
          <a:solidFill>
            <a:schemeClr val="accent2"/>
          </a:solidFill>
          <a:prstDash val="solid"/>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HELPER!$B$5</c:f>
              <c:strCache>
                <c:ptCount val="1"/>
                <c:pt idx="0">
                  <c:v>Total</c:v>
                </c:pt>
              </c:strCache>
            </c:strRef>
          </c:tx>
          <c:spPr>
            <a:solidFill>
              <a:schemeClr val="accent4">
                <a:lumMod val="50000"/>
              </a:schemeClr>
            </a:solidFill>
            <a:ln>
              <a:noFill/>
            </a:ln>
            <a:effectLst/>
          </c:spPr>
          <c:invertIfNegative val="0"/>
          <c:cat>
            <c:strRef>
              <c:f>HELPER!$A$6:$A$13</c:f>
              <c:strCache>
                <c:ptCount val="7"/>
                <c:pt idx="0">
                  <c:v>Accounting</c:v>
                </c:pt>
                <c:pt idx="1">
                  <c:v>Customer Service</c:v>
                </c:pt>
                <c:pt idx="2">
                  <c:v>Executive</c:v>
                </c:pt>
                <c:pt idx="3">
                  <c:v>Facilities</c:v>
                </c:pt>
                <c:pt idx="4">
                  <c:v>Human Resources</c:v>
                </c:pt>
                <c:pt idx="5">
                  <c:v>IT</c:v>
                </c:pt>
                <c:pt idx="6">
                  <c:v>Sales</c:v>
                </c:pt>
              </c:strCache>
            </c:strRef>
          </c:cat>
          <c:val>
            <c:numRef>
              <c:f>HELPER!$B$6:$B$13</c:f>
              <c:numCache>
                <c:formatCode>General</c:formatCode>
                <c:ptCount val="7"/>
                <c:pt idx="0">
                  <c:v>4</c:v>
                </c:pt>
                <c:pt idx="1">
                  <c:v>5</c:v>
                </c:pt>
                <c:pt idx="2">
                  <c:v>2</c:v>
                </c:pt>
                <c:pt idx="3">
                  <c:v>1</c:v>
                </c:pt>
                <c:pt idx="4">
                  <c:v>3</c:v>
                </c:pt>
                <c:pt idx="5">
                  <c:v>5</c:v>
                </c:pt>
                <c:pt idx="6">
                  <c:v>15</c:v>
                </c:pt>
              </c:numCache>
            </c:numRef>
          </c:val>
          <c:extLst>
            <c:ext xmlns:c16="http://schemas.microsoft.com/office/drawing/2014/chart" uri="{C3380CC4-5D6E-409C-BE32-E72D297353CC}">
              <c16:uniqueId val="{00000000-A4B3-4410-910A-AE5B347FC0DC}"/>
            </c:ext>
          </c:extLst>
        </c:ser>
        <c:dLbls>
          <c:showLegendKey val="0"/>
          <c:showVal val="0"/>
          <c:showCatName val="0"/>
          <c:showSerName val="0"/>
          <c:showPercent val="0"/>
          <c:showBubbleSize val="0"/>
        </c:dLbls>
        <c:gapWidth val="80"/>
        <c:overlap val="25"/>
        <c:axId val="479550576"/>
        <c:axId val="479548176"/>
      </c:barChart>
      <c:catAx>
        <c:axId val="47955057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cap="none" spc="20" normalizeH="0" baseline="0">
                <a:solidFill>
                  <a:schemeClr val="accent2">
                    <a:lumMod val="20000"/>
                    <a:lumOff val="80000"/>
                  </a:schemeClr>
                </a:solidFill>
                <a:latin typeface="+mn-lt"/>
                <a:ea typeface="+mn-ea"/>
                <a:cs typeface="+mn-cs"/>
              </a:defRPr>
            </a:pPr>
            <a:endParaRPr lang="en-US"/>
          </a:p>
        </c:txPr>
        <c:crossAx val="479548176"/>
        <c:crosses val="autoZero"/>
        <c:auto val="1"/>
        <c:lblAlgn val="ctr"/>
        <c:lblOffset val="100"/>
        <c:noMultiLvlLbl val="0"/>
      </c:catAx>
      <c:valAx>
        <c:axId val="479548176"/>
        <c:scaling>
          <c:orientation val="minMax"/>
        </c:scaling>
        <c:delete val="0"/>
        <c:axPos val="l"/>
        <c:numFmt formatCode="General" sourceLinked="1"/>
        <c:majorTickMark val="none"/>
        <c:minorTickMark val="none"/>
        <c:tickLblPos val="nextTo"/>
        <c:spPr>
          <a:noFill/>
          <a:ln>
            <a:solidFill>
              <a:schemeClr val="accent2">
                <a:lumMod val="20000"/>
                <a:lumOff val="80000"/>
              </a:schemeClr>
            </a:solidFill>
          </a:ln>
          <a:effectLst/>
        </c:spPr>
        <c:txPr>
          <a:bodyPr rot="-60000000" spcFirstLastPara="1" vertOverflow="ellipsis" vert="horz" wrap="square" anchor="ctr" anchorCtr="1"/>
          <a:lstStyle/>
          <a:p>
            <a:pPr>
              <a:defRPr sz="1000" b="0" i="0" u="none" strike="noStrike" kern="1200" spc="20" baseline="0">
                <a:solidFill>
                  <a:schemeClr val="accent3">
                    <a:lumMod val="20000"/>
                    <a:lumOff val="80000"/>
                  </a:schemeClr>
                </a:solidFill>
                <a:latin typeface="+mn-lt"/>
                <a:ea typeface="+mn-ea"/>
                <a:cs typeface="+mn-cs"/>
              </a:defRPr>
            </a:pPr>
            <a:endParaRPr lang="en-US"/>
          </a:p>
        </c:txPr>
        <c:crossAx val="479550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60000"/>
        <a:lumOff val="4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[HR-DASHBOARD.xlsm]HELPER!PivotTable2</c:name>
    <c:fmtId val="1"/>
  </c:pivotSource>
  <c:chart>
    <c:title>
      <c:overlay val="0"/>
      <c:spPr>
        <a:solidFill>
          <a:schemeClr val="accent3"/>
        </a:solidFill>
        <a:ln w="15875" cap="flat" cmpd="sng" algn="ctr">
          <a:solidFill>
            <a:schemeClr val="accent3">
              <a:shade val="15000"/>
            </a:schemeClr>
          </a:solidFill>
          <a:prstDash val="solid"/>
        </a:ln>
        <a:effectLst/>
      </c:spPr>
      <c:txPr>
        <a:bodyPr rot="0" spcFirstLastPara="1" vertOverflow="ellipsis" vert="horz" wrap="square" anchor="ctr" anchorCtr="1"/>
        <a:lstStyle/>
        <a:p>
          <a:pPr>
            <a:defRPr sz="1600" b="1" i="0" u="none" strike="noStrike" kern="1200" cap="all"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spPr>
          <a:solidFill>
            <a:schemeClr val="tx2">
              <a:lumMod val="7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spPr>
          <a:solidFill>
            <a:schemeClr val="accent4">
              <a:lumMod val="40000"/>
              <a:lumOff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8611111111111108E-2"/>
          <c:y val="0.24439887722368037"/>
          <c:w val="0.81388888888888888"/>
          <c:h val="0.57745005832604257"/>
        </c:manualLayout>
      </c:layout>
      <c:pie3DChart>
        <c:varyColors val="1"/>
        <c:ser>
          <c:idx val="0"/>
          <c:order val="0"/>
          <c:tx>
            <c:strRef>
              <c:f>HELPER!$F$5</c:f>
              <c:strCache>
                <c:ptCount val="1"/>
                <c:pt idx="0">
                  <c:v>Total</c:v>
                </c:pt>
              </c:strCache>
            </c:strRef>
          </c:tx>
          <c:dPt>
            <c:idx val="0"/>
            <c:bubble3D val="0"/>
            <c:spPr>
              <a:solidFill>
                <a:schemeClr val="tx2">
                  <a:lumMod val="7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6A1C-4F98-97A2-C9604A9ED54C}"/>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6A1C-4F98-97A2-C9604A9ED54C}"/>
              </c:ext>
            </c:extLst>
          </c:dPt>
          <c:dPt>
            <c:idx val="2"/>
            <c:bubble3D val="0"/>
            <c:spPr>
              <a:solidFill>
                <a:schemeClr val="accent4">
                  <a:lumMod val="40000"/>
                  <a:lumOff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6A1C-4F98-97A2-C9604A9ED54C}"/>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HELPER!$E$6:$E$9</c:f>
              <c:strCache>
                <c:ptCount val="3"/>
                <c:pt idx="0">
                  <c:v>East</c:v>
                </c:pt>
                <c:pt idx="1">
                  <c:v>North</c:v>
                </c:pt>
                <c:pt idx="2">
                  <c:v>West</c:v>
                </c:pt>
              </c:strCache>
            </c:strRef>
          </c:cat>
          <c:val>
            <c:numRef>
              <c:f>HELPER!$F$6:$F$9</c:f>
              <c:numCache>
                <c:formatCode>General</c:formatCode>
                <c:ptCount val="3"/>
                <c:pt idx="0">
                  <c:v>15</c:v>
                </c:pt>
                <c:pt idx="1">
                  <c:v>4</c:v>
                </c:pt>
                <c:pt idx="2">
                  <c:v>16</c:v>
                </c:pt>
              </c:numCache>
            </c:numRef>
          </c:val>
          <c:extLst>
            <c:ext xmlns:c16="http://schemas.microsoft.com/office/drawing/2014/chart" uri="{C3380CC4-5D6E-409C-BE32-E72D297353CC}">
              <c16:uniqueId val="{00000006-6A1C-4F98-97A2-C9604A9ED54C}"/>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[HR-DASHBOARD.xlsm]HELPER!PivotTable3</c:name>
    <c:fmtId val="1"/>
  </c:pivotSource>
  <c:chart>
    <c:title>
      <c:overlay val="0"/>
      <c:spPr>
        <a:gradFill rotWithShape="1">
          <a:gsLst>
            <a:gs pos="0">
              <a:schemeClr val="accent4">
                <a:tint val="83000"/>
                <a:satMod val="100000"/>
                <a:lumMod val="100000"/>
              </a:schemeClr>
            </a:gs>
            <a:gs pos="100000">
              <a:schemeClr val="accent4">
                <a:tint val="61000"/>
                <a:satMod val="150000"/>
                <a:lumMod val="100000"/>
              </a:schemeClr>
            </a:gs>
          </a:gsLst>
          <a:path path="circle">
            <a:fillToRect l="100000" t="100000" r="100000" b="100000"/>
          </a:path>
        </a:gradFill>
        <a:ln w="9525" cap="flat" cmpd="sng" algn="ctr">
          <a:solidFill>
            <a:schemeClr val="accent4"/>
          </a:solidFill>
          <a:prstDash val="solid"/>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75000"/>
            </a:schemeClr>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col"/>
        <c:grouping val="clustered"/>
        <c:varyColors val="0"/>
        <c:ser>
          <c:idx val="0"/>
          <c:order val="0"/>
          <c:tx>
            <c:strRef>
              <c:f>HELPER!$J$5</c:f>
              <c:strCache>
                <c:ptCount val="1"/>
                <c:pt idx="0">
                  <c:v>Total</c:v>
                </c:pt>
              </c:strCache>
            </c:strRef>
          </c:tx>
          <c:spPr>
            <a:solidFill>
              <a:schemeClr val="tx2">
                <a:lumMod val="75000"/>
              </a:schemeClr>
            </a:solidFill>
            <a:ln>
              <a:noFill/>
            </a:ln>
            <a:effectLst/>
            <a:sp3d/>
          </c:spPr>
          <c:invertIfNegative val="0"/>
          <c:cat>
            <c:strRef>
              <c:f>HELPER!$I$6:$I$9</c:f>
              <c:strCache>
                <c:ptCount val="3"/>
                <c:pt idx="0">
                  <c:v>1</c:v>
                </c:pt>
                <c:pt idx="1">
                  <c:v>2</c:v>
                </c:pt>
                <c:pt idx="2">
                  <c:v>3</c:v>
                </c:pt>
              </c:strCache>
            </c:strRef>
          </c:cat>
          <c:val>
            <c:numRef>
              <c:f>HELPER!$J$6:$J$9</c:f>
              <c:numCache>
                <c:formatCode>General</c:formatCode>
                <c:ptCount val="3"/>
                <c:pt idx="0">
                  <c:v>5</c:v>
                </c:pt>
                <c:pt idx="1">
                  <c:v>20</c:v>
                </c:pt>
                <c:pt idx="2">
                  <c:v>10</c:v>
                </c:pt>
              </c:numCache>
            </c:numRef>
          </c:val>
          <c:extLst>
            <c:ext xmlns:c16="http://schemas.microsoft.com/office/drawing/2014/chart" uri="{C3380CC4-5D6E-409C-BE32-E72D297353CC}">
              <c16:uniqueId val="{00000000-13F6-4413-9E51-3324416078CB}"/>
            </c:ext>
          </c:extLst>
        </c:ser>
        <c:dLbls>
          <c:showLegendKey val="0"/>
          <c:showVal val="0"/>
          <c:showCatName val="0"/>
          <c:showSerName val="0"/>
          <c:showPercent val="0"/>
          <c:showBubbleSize val="0"/>
        </c:dLbls>
        <c:gapWidth val="150"/>
        <c:shape val="box"/>
        <c:axId val="486942864"/>
        <c:axId val="486943824"/>
        <c:axId val="0"/>
      </c:bar3DChart>
      <c:catAx>
        <c:axId val="486942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43824"/>
        <c:crosses val="autoZero"/>
        <c:auto val="1"/>
        <c:lblAlgn val="ctr"/>
        <c:lblOffset val="100"/>
        <c:noMultiLvlLbl val="0"/>
      </c:catAx>
      <c:valAx>
        <c:axId val="486943824"/>
        <c:scaling>
          <c:orientation val="minMax"/>
        </c:scaling>
        <c:delete val="0"/>
        <c:axPos val="l"/>
        <c:majorGridlines>
          <c:spPr>
            <a:ln w="9525" cap="flat" cmpd="sng" algn="ctr">
              <a:solidFill>
                <a:schemeClr val="accent4">
                  <a:lumMod val="40000"/>
                  <a:lumOff val="60000"/>
                </a:schemeClr>
              </a:solidFill>
              <a:round/>
            </a:ln>
            <a:effectLst/>
          </c:spPr>
        </c:majorGridlines>
        <c:numFmt formatCode="General" sourceLinked="1"/>
        <c:majorTickMark val="none"/>
        <c:minorTickMark val="none"/>
        <c:tickLblPos val="nextTo"/>
        <c:spPr>
          <a:solidFill>
            <a:schemeClr val="tx2">
              <a:lumMod val="40000"/>
              <a:lumOff val="60000"/>
            </a:schemeClr>
          </a:solid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486942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7</xdr:col>
      <xdr:colOff>1110270</xdr:colOff>
      <xdr:row>6</xdr:row>
      <xdr:rowOff>120799</xdr:rowOff>
    </xdr:to>
    <xdr:pic>
      <xdr:nvPicPr>
        <xdr:cNvPr id="2" name="Picture 1" title="Macquarie University Logo">
          <a:extLst>
            <a:ext uri="{FF2B5EF4-FFF2-40B4-BE49-F238E27FC236}">
              <a16:creationId xmlns:a16="http://schemas.microsoft.com/office/drawing/2014/main" id="{45E04198-DA21-4113-8098-726A7B40EFC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086"/>
        <a:stretch/>
      </xdr:blipFill>
      <xdr:spPr>
        <a:xfrm>
          <a:off x="0" y="1"/>
          <a:ext cx="4809145" cy="1660673"/>
        </a:xfrm>
        <a:prstGeom prst="rect">
          <a:avLst/>
        </a:prstGeom>
      </xdr:spPr>
    </xdr:pic>
    <xdr:clientData/>
  </xdr:twoCellAnchor>
  <xdr:twoCellAnchor editAs="oneCell">
    <xdr:from>
      <xdr:col>1</xdr:col>
      <xdr:colOff>0</xdr:colOff>
      <xdr:row>27</xdr:row>
      <xdr:rowOff>123030</xdr:rowOff>
    </xdr:from>
    <xdr:to>
      <xdr:col>14</xdr:col>
      <xdr:colOff>1384694</xdr:colOff>
      <xdr:row>57</xdr:row>
      <xdr:rowOff>2324</xdr:rowOff>
    </xdr:to>
    <xdr:pic>
      <xdr:nvPicPr>
        <xdr:cNvPr id="4" name="Picture 3">
          <a:extLst>
            <a:ext uri="{FF2B5EF4-FFF2-40B4-BE49-F238E27FC236}">
              <a16:creationId xmlns:a16="http://schemas.microsoft.com/office/drawing/2014/main" id="{78D7111B-A1BF-4904-995F-9573113F0D5E}"/>
            </a:ext>
          </a:extLst>
        </xdr:cNvPr>
        <xdr:cNvPicPr>
          <a:picLocks noChangeAspect="1"/>
        </xdr:cNvPicPr>
      </xdr:nvPicPr>
      <xdr:blipFill>
        <a:blip xmlns:r="http://schemas.openxmlformats.org/officeDocument/2006/relationships" r:embed="rId2"/>
        <a:stretch>
          <a:fillRect/>
        </a:stretch>
      </xdr:blipFill>
      <xdr:spPr>
        <a:xfrm>
          <a:off x="381000" y="5044280"/>
          <a:ext cx="10111976" cy="53561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714375</xdr:colOff>
      <xdr:row>10</xdr:row>
      <xdr:rowOff>95250</xdr:rowOff>
    </xdr:from>
    <xdr:to>
      <xdr:col>3</xdr:col>
      <xdr:colOff>1885950</xdr:colOff>
      <xdr:row>31</xdr:row>
      <xdr:rowOff>114300</xdr:rowOff>
    </xdr:to>
    <xdr:graphicFrame macro="">
      <xdr:nvGraphicFramePr>
        <xdr:cNvPr id="3" name="Chart 2">
          <a:extLst>
            <a:ext uri="{FF2B5EF4-FFF2-40B4-BE49-F238E27FC236}">
              <a16:creationId xmlns:a16="http://schemas.microsoft.com/office/drawing/2014/main" id="{53F7787B-313D-B6ED-7DF1-AFAFCE4F14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xdr:colOff>
      <xdr:row>14</xdr:row>
      <xdr:rowOff>80962</xdr:rowOff>
    </xdr:from>
    <xdr:to>
      <xdr:col>10</xdr:col>
      <xdr:colOff>542925</xdr:colOff>
      <xdr:row>28</xdr:row>
      <xdr:rowOff>157162</xdr:rowOff>
    </xdr:to>
    <xdr:graphicFrame macro="">
      <xdr:nvGraphicFramePr>
        <xdr:cNvPr id="4" name="Chart 3">
          <a:extLst>
            <a:ext uri="{FF2B5EF4-FFF2-40B4-BE49-F238E27FC236}">
              <a16:creationId xmlns:a16="http://schemas.microsoft.com/office/drawing/2014/main" id="{4E136A5A-A0E3-F0CD-95D8-65601C6FBB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828675</xdr:colOff>
      <xdr:row>35</xdr:row>
      <xdr:rowOff>128587</xdr:rowOff>
    </xdr:from>
    <xdr:to>
      <xdr:col>3</xdr:col>
      <xdr:colOff>323850</xdr:colOff>
      <xdr:row>50</xdr:row>
      <xdr:rowOff>14287</xdr:rowOff>
    </xdr:to>
    <xdr:graphicFrame macro="">
      <xdr:nvGraphicFramePr>
        <xdr:cNvPr id="5" name="Chart 4">
          <a:extLst>
            <a:ext uri="{FF2B5EF4-FFF2-40B4-BE49-F238E27FC236}">
              <a16:creationId xmlns:a16="http://schemas.microsoft.com/office/drawing/2014/main" id="{0173EBC4-32F2-ACDD-A4E7-DF9E501994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1714500</xdr:colOff>
      <xdr:row>34</xdr:row>
      <xdr:rowOff>38100</xdr:rowOff>
    </xdr:from>
    <xdr:to>
      <xdr:col>6</xdr:col>
      <xdr:colOff>0</xdr:colOff>
      <xdr:row>47</xdr:row>
      <xdr:rowOff>38100</xdr:rowOff>
    </xdr:to>
    <mc:AlternateContent xmlns:mc="http://schemas.openxmlformats.org/markup-compatibility/2006">
      <mc:Choice xmlns:a14="http://schemas.microsoft.com/office/drawing/2010/main" Requires="a14">
        <xdr:graphicFrame macro="">
          <xdr:nvGraphicFramePr>
            <xdr:cNvPr id="6" name="Department">
              <a:extLst>
                <a:ext uri="{FF2B5EF4-FFF2-40B4-BE49-F238E27FC236}">
                  <a16:creationId xmlns:a16="http://schemas.microsoft.com/office/drawing/2014/main" id="{5740A724-F8BC-87F6-E8D3-ADAB389692A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6791325" y="6953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952500</xdr:colOff>
      <xdr:row>34</xdr:row>
      <xdr:rowOff>28575</xdr:rowOff>
    </xdr:from>
    <xdr:to>
      <xdr:col>7</xdr:col>
      <xdr:colOff>1200150</xdr:colOff>
      <xdr:row>47</xdr:row>
      <xdr:rowOff>28575</xdr:rowOff>
    </xdr:to>
    <mc:AlternateContent xmlns:mc="http://schemas.openxmlformats.org/markup-compatibility/2006">
      <mc:Choice xmlns:a14="http://schemas.microsoft.com/office/drawing/2010/main" Requires="a14">
        <xdr:graphicFrame macro="">
          <xdr:nvGraphicFramePr>
            <xdr:cNvPr id="7" name="Wing">
              <a:extLst>
                <a:ext uri="{FF2B5EF4-FFF2-40B4-BE49-F238E27FC236}">
                  <a16:creationId xmlns:a16="http://schemas.microsoft.com/office/drawing/2014/main" id="{51A1D3AB-371A-EF6F-E651-4CA9C98AC47D}"/>
                </a:ext>
              </a:extLst>
            </xdr:cNvPr>
            <xdr:cNvGraphicFramePr/>
          </xdr:nvGraphicFramePr>
          <xdr:xfrm>
            <a:off x="0" y="0"/>
            <a:ext cx="0" cy="0"/>
          </xdr:xfrm>
          <a:graphic>
            <a:graphicData uri="http://schemas.microsoft.com/office/drawing/2010/slicer">
              <sle:slicer xmlns:sle="http://schemas.microsoft.com/office/drawing/2010/slicer" name="Wing"/>
            </a:graphicData>
          </a:graphic>
        </xdr:graphicFrame>
      </mc:Choice>
      <mc:Fallback>
        <xdr:sp macro="" textlink="">
          <xdr:nvSpPr>
            <xdr:cNvPr id="0" name=""/>
            <xdr:cNvSpPr>
              <a:spLocks noTextEdit="1"/>
            </xdr:cNvSpPr>
          </xdr:nvSpPr>
          <xdr:spPr>
            <a:xfrm>
              <a:off x="8601075" y="69437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1200150</xdr:colOff>
      <xdr:row>34</xdr:row>
      <xdr:rowOff>28575</xdr:rowOff>
    </xdr:from>
    <xdr:to>
      <xdr:col>10</xdr:col>
      <xdr:colOff>561975</xdr:colOff>
      <xdr:row>47</xdr:row>
      <xdr:rowOff>28575</xdr:rowOff>
    </xdr:to>
    <mc:AlternateContent xmlns:mc="http://schemas.openxmlformats.org/markup-compatibility/2006">
      <mc:Choice xmlns:a14="http://schemas.microsoft.com/office/drawing/2010/main" Requires="a14">
        <xdr:graphicFrame macro="">
          <xdr:nvGraphicFramePr>
            <xdr:cNvPr id="8" name="Floor No.">
              <a:extLst>
                <a:ext uri="{FF2B5EF4-FFF2-40B4-BE49-F238E27FC236}">
                  <a16:creationId xmlns:a16="http://schemas.microsoft.com/office/drawing/2014/main" id="{79A79E1D-C37C-0BC3-A253-3D8C68DB87FC}"/>
                </a:ext>
              </a:extLst>
            </xdr:cNvPr>
            <xdr:cNvGraphicFramePr/>
          </xdr:nvGraphicFramePr>
          <xdr:xfrm>
            <a:off x="0" y="0"/>
            <a:ext cx="0" cy="0"/>
          </xdr:xfrm>
          <a:graphic>
            <a:graphicData uri="http://schemas.microsoft.com/office/drawing/2010/slicer">
              <sle:slicer xmlns:sle="http://schemas.microsoft.com/office/drawing/2010/slicer" name="Floor No."/>
            </a:graphicData>
          </a:graphic>
        </xdr:graphicFrame>
      </mc:Choice>
      <mc:Fallback>
        <xdr:sp macro="" textlink="">
          <xdr:nvSpPr>
            <xdr:cNvPr id="0" name=""/>
            <xdr:cNvSpPr>
              <a:spLocks noTextEdit="1"/>
            </xdr:cNvSpPr>
          </xdr:nvSpPr>
          <xdr:spPr>
            <a:xfrm>
              <a:off x="10429875" y="69437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7</xdr:col>
          <xdr:colOff>123825</xdr:colOff>
          <xdr:row>0</xdr:row>
          <xdr:rowOff>314325</xdr:rowOff>
        </xdr:from>
        <xdr:to>
          <xdr:col>8</xdr:col>
          <xdr:colOff>76200</xdr:colOff>
          <xdr:row>1</xdr:row>
          <xdr:rowOff>171450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REFRESH </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PNA POTHURAJU" refreshedDate="46058.481751967593" createdVersion="8" refreshedVersion="8" minRefreshableVersion="3" recordCount="35" xr:uid="{0D651711-0D0C-453F-8100-DA2CE80ED404}">
  <cacheSource type="worksheet">
    <worksheetSource ref="A3:M38" sheet="HR Data"/>
  </cacheSource>
  <cacheFields count="16">
    <cacheField name="Emp No." numFmtId="0">
      <sharedItems containsSemiMixedTypes="0" containsString="0" containsNumber="1" containsInteger="1" minValue="1001" maxValue="1253"/>
    </cacheField>
    <cacheField name="Full/Part Time" numFmtId="0">
      <sharedItems/>
    </cacheField>
    <cacheField name="Emp ID" numFmtId="0">
      <sharedItems/>
    </cacheField>
    <cacheField name="Last Name" numFmtId="0">
      <sharedItems/>
    </cacheField>
    <cacheField name="First Name" numFmtId="0">
      <sharedItems/>
    </cacheField>
    <cacheField name="Full Name" numFmtId="0">
      <sharedItems/>
    </cacheField>
    <cacheField name="Email" numFmtId="0">
      <sharedItems/>
    </cacheField>
    <cacheField name="Date of Hire" numFmtId="14">
      <sharedItems containsSemiMixedTypes="0" containsNonDate="0" containsDate="1" containsString="0" minDate="2001-02-01T00:00:00" maxDate="2017-06-20T00:00:00" count="35">
        <d v="2008-04-13T00:00:00"/>
        <d v="2004-04-22T00:00:00"/>
        <d v="2014-11-13T00:00:00"/>
        <d v="2015-08-13T00:00:00"/>
        <d v="2016-01-15T00:00:00"/>
        <d v="2014-09-11T00:00:00"/>
        <d v="2014-09-21T00:00:00"/>
        <d v="2006-03-22T00:00:00"/>
        <d v="2001-02-01T00:00:00"/>
        <d v="2014-05-28T00:00:00"/>
        <d v="2011-02-21T00:00:00"/>
        <d v="2012-03-26T00:00:00"/>
        <d v="2010-02-11T00:00:00"/>
        <d v="2001-02-27T00:00:00"/>
        <d v="2014-12-16T00:00:00"/>
        <d v="2017-06-19T00:00:00"/>
        <d v="2013-05-07T00:00:00"/>
        <d v="2008-08-26T00:00:00"/>
        <d v="2012-10-28T00:00:00"/>
        <d v="2012-09-23T00:00:00"/>
        <d v="2015-08-12T00:00:00"/>
        <d v="2016-01-02T00:00:00"/>
        <d v="2006-11-02T00:00:00"/>
        <d v="2005-07-15T00:00:00"/>
        <d v="2006-01-27T00:00:00"/>
        <d v="2002-09-11T00:00:00"/>
        <d v="2015-04-26T00:00:00"/>
        <d v="2016-12-17T00:00:00"/>
        <d v="2009-12-13T00:00:00"/>
        <d v="2016-11-17T00:00:00"/>
        <d v="2015-11-16T00:00:00"/>
        <d v="2011-06-19T00:00:00"/>
        <d v="2015-11-13T00:00:00"/>
        <d v="2010-01-10T00:00:00"/>
        <d v="2014-12-29T00:00:00"/>
      </sharedItems>
      <fieldGroup par="15"/>
    </cacheField>
    <cacheField name="Department" numFmtId="0">
      <sharedItems count="7">
        <s v="Sales"/>
        <s v="Customer Service"/>
        <s v="Human Resources"/>
        <s v="Accounting"/>
        <s v="Executive"/>
        <s v="Facilities"/>
        <s v="IT"/>
      </sharedItems>
    </cacheField>
    <cacheField name="Location" numFmtId="0">
      <sharedItems/>
    </cacheField>
    <cacheField name="Floor No." numFmtId="0">
      <sharedItems containsSemiMixedTypes="0" containsString="0" containsNumber="1" containsInteger="1" minValue="1" maxValue="3" count="3">
        <n v="2"/>
        <n v="3"/>
        <n v="1"/>
      </sharedItems>
    </cacheField>
    <cacheField name="Wing" numFmtId="0">
      <sharedItems count="3">
        <s v="West"/>
        <s v="North"/>
        <s v="East"/>
      </sharedItems>
    </cacheField>
    <cacheField name="Extension " numFmtId="0">
      <sharedItems/>
    </cacheField>
    <cacheField name="Months (Date of Hire)" numFmtId="0" databaseField="0">
      <fieldGroup base="7">
        <rangePr groupBy="months" startDate="2001-02-01T00:00:00" endDate="2017-06-20T00:00:00"/>
        <groupItems count="14">
          <s v="&lt;01-02-2001"/>
          <s v="Jan"/>
          <s v="Feb"/>
          <s v="Mar"/>
          <s v="Apr"/>
          <s v="May"/>
          <s v="Jun"/>
          <s v="Jul"/>
          <s v="Aug"/>
          <s v="Sep"/>
          <s v="Oct"/>
          <s v="Nov"/>
          <s v="Dec"/>
          <s v="&gt;20-06-2017"/>
        </groupItems>
      </fieldGroup>
    </cacheField>
    <cacheField name="Quarters (Date of Hire)" numFmtId="0" databaseField="0">
      <fieldGroup base="7">
        <rangePr groupBy="quarters" startDate="2001-02-01T00:00:00" endDate="2017-06-20T00:00:00"/>
        <groupItems count="6">
          <s v="&lt;01-02-2001"/>
          <s v="Qtr1"/>
          <s v="Qtr2"/>
          <s v="Qtr3"/>
          <s v="Qtr4"/>
          <s v="&gt;20-06-2017"/>
        </groupItems>
      </fieldGroup>
    </cacheField>
    <cacheField name="Years (Date of Hire)" numFmtId="0" databaseField="0">
      <fieldGroup base="7">
        <rangePr groupBy="years" startDate="2001-02-01T00:00:00" endDate="2017-06-20T00:00:00"/>
        <groupItems count="19">
          <s v="&lt;01-02-2001"/>
          <s v="2001"/>
          <s v="2002"/>
          <s v="2003"/>
          <s v="2004"/>
          <s v="2005"/>
          <s v="2006"/>
          <s v="2007"/>
          <s v="2008"/>
          <s v="2009"/>
          <s v="2010"/>
          <s v="2011"/>
          <s v="2012"/>
          <s v="2013"/>
          <s v="2014"/>
          <s v="2015"/>
          <s v="2016"/>
          <s v="2017"/>
          <s v="&gt;20-06-2017"/>
        </groupItems>
      </fieldGroup>
    </cacheField>
  </cacheFields>
  <extLst>
    <ext xmlns:x14="http://schemas.microsoft.com/office/spreadsheetml/2009/9/main" uri="{725AE2AE-9491-48be-B2B4-4EB974FC3084}">
      <x14:pivotCacheDefinition pivotCacheId="8932200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n v="1180"/>
    <s v="F"/>
    <s v="F1180"/>
    <s v="Bacata"/>
    <s v="Stevie"/>
    <s v="Stevie Bacata"/>
    <s v="sbacata@zenco.com"/>
    <x v="0"/>
    <x v="0"/>
    <s v="02-West-2635 "/>
    <x v="0"/>
    <x v="0"/>
    <s v="2635 "/>
  </r>
  <r>
    <n v="1110"/>
    <s v="F"/>
    <s v="F1110"/>
    <s v="BARRY"/>
    <s v="Adam"/>
    <s v="Adam Barry"/>
    <s v="abarry@zenco.com"/>
    <x v="1"/>
    <x v="1"/>
    <s v="02-West-2018 "/>
    <x v="0"/>
    <x v="0"/>
    <s v="2018 "/>
  </r>
  <r>
    <n v="1232"/>
    <s v="F"/>
    <s v="F1232"/>
    <s v="Betts"/>
    <s v="Connor"/>
    <s v="Connor Betts"/>
    <s v="cbetts@zenco.com"/>
    <x v="2"/>
    <x v="0"/>
    <s v="02-NorthEast-2347 "/>
    <x v="0"/>
    <x v="1"/>
    <s v="2347 "/>
  </r>
  <r>
    <n v="1243"/>
    <s v="P"/>
    <s v="P1243"/>
    <s v="BINGA"/>
    <s v="Fred"/>
    <s v="Fred Binga"/>
    <s v="fbinga@zenco.com"/>
    <x v="3"/>
    <x v="2"/>
    <s v="03-West-2764 "/>
    <x v="1"/>
    <x v="0"/>
    <s v="2764 "/>
  </r>
  <r>
    <n v="1248"/>
    <s v="P"/>
    <s v="P1248"/>
    <s v="Biti"/>
    <s v="Yvette"/>
    <s v="Yvette Biti"/>
    <s v="ybiti@zenco.com"/>
    <x v="4"/>
    <x v="0"/>
    <s v="02-West-2589 _x001f_"/>
    <x v="0"/>
    <x v="0"/>
    <s v="2589 _x001f_"/>
  </r>
  <r>
    <n v="1227"/>
    <s v="P"/>
    <s v="P1227"/>
    <s v="BOLLER"/>
    <s v="Jim"/>
    <s v="Jim Boller"/>
    <s v="jboller@zenco.com"/>
    <x v="5"/>
    <x v="3"/>
    <s v="03-East-2318 "/>
    <x v="1"/>
    <x v="2"/>
    <s v="2318 "/>
  </r>
  <r>
    <n v="1230"/>
    <s v="P"/>
    <s v="P1230"/>
    <s v="Bui"/>
    <s v="Charlie"/>
    <s v="Charlie Bui"/>
    <s v="cbui@zenco.com"/>
    <x v="6"/>
    <x v="0"/>
    <s v="02-East-2694 "/>
    <x v="0"/>
    <x v="2"/>
    <s v="2694 "/>
  </r>
  <r>
    <n v="1162"/>
    <s v="F"/>
    <s v="F1162"/>
    <s v="Carlton"/>
    <s v="Barbara"/>
    <s v="Barbara Carlton"/>
    <s v="bcarlton@zenco.com"/>
    <x v="7"/>
    <x v="0"/>
    <s v="02-West-2699 "/>
    <x v="0"/>
    <x v="0"/>
    <s v="2699 "/>
  </r>
  <r>
    <n v="1001"/>
    <s v="P"/>
    <s v="P1001"/>
    <s v="CAROL"/>
    <s v="Joe"/>
    <s v="Joe Carol"/>
    <s v="jcarol@zenco.com"/>
    <x v="8"/>
    <x v="4"/>
    <s v="01-East-2321 "/>
    <x v="2"/>
    <x v="2"/>
    <s v="2321 "/>
  </r>
  <r>
    <n v="1224"/>
    <s v="F"/>
    <s v="F1224"/>
    <s v="CHAFFEE"/>
    <s v="Jim"/>
    <s v="Jim Chaffee"/>
    <s v="jchaffee@zenco.com"/>
    <x v="9"/>
    <x v="5"/>
    <s v="03-West-2432 "/>
    <x v="1"/>
    <x v="0"/>
    <s v="2432 "/>
  </r>
  <r>
    <n v="1203"/>
    <s v="P"/>
    <s v="P1203"/>
    <s v="Chairs"/>
    <s v="Samantha"/>
    <s v="Samantha Chairs"/>
    <s v="schairs@zenco.com"/>
    <x v="10"/>
    <x v="0"/>
    <s v="02-West-2962 "/>
    <x v="0"/>
    <x v="0"/>
    <s v="2962 "/>
  </r>
  <r>
    <n v="1211"/>
    <s v="P"/>
    <s v="P1211"/>
    <s v="CHAUDRI"/>
    <s v="Uma"/>
    <s v="Uma Chaudri"/>
    <s v="uchaudri@zenco.com"/>
    <x v="11"/>
    <x v="2"/>
    <s v="03-East-2134 _x001f_"/>
    <x v="1"/>
    <x v="2"/>
    <s v="2134 _x001f_"/>
  </r>
  <r>
    <n v="1198"/>
    <s v="P"/>
    <s v="P1198"/>
    <s v="CHU"/>
    <s v="Elizabeth"/>
    <s v="Elizabeth Chu"/>
    <s v="echu@zenco.com"/>
    <x v="12"/>
    <x v="6"/>
    <s v="01-West-2425 "/>
    <x v="2"/>
    <x v="0"/>
    <s v="2425 "/>
  </r>
  <r>
    <n v="1003"/>
    <s v="F"/>
    <s v="F1003"/>
    <s v="CHUNG"/>
    <s v="Eric"/>
    <s v="Eric Chung"/>
    <s v="echung@zenco.com"/>
    <x v="13"/>
    <x v="6"/>
    <s v="03-West-2796 "/>
    <x v="1"/>
    <x v="0"/>
    <s v="2796 "/>
  </r>
  <r>
    <n v="1235"/>
    <s v="F"/>
    <s v="F1235"/>
    <s v="CLARK"/>
    <s v="ANNA"/>
    <s v="Anna Clark"/>
    <s v="aclark@zenco.com"/>
    <x v="14"/>
    <x v="3"/>
    <s v="03-West-2601 "/>
    <x v="1"/>
    <x v="0"/>
    <s v="2601 "/>
  </r>
  <r>
    <n v="1253"/>
    <s v="P"/>
    <s v="P1253"/>
    <s v="CLARK"/>
    <s v="Elizabeth"/>
    <s v="Elizabeth Clark"/>
    <s v="eclark@zenco.com"/>
    <x v="15"/>
    <x v="1"/>
    <s v="02-NorthEast-2414 "/>
    <x v="0"/>
    <x v="1"/>
    <s v="2414 "/>
  </r>
  <r>
    <n v="1221"/>
    <s v="P"/>
    <s v="P1221"/>
    <s v="COLE"/>
    <s v="Sabrina"/>
    <s v="Sabrina Cole"/>
    <s v="scole@zenco.com"/>
    <x v="16"/>
    <x v="1"/>
    <s v="02-West-2537 "/>
    <x v="0"/>
    <x v="0"/>
    <s v="2537 "/>
  </r>
  <r>
    <n v="1186"/>
    <s v="F"/>
    <s v="F1186"/>
    <s v="COMUNTZIS"/>
    <s v="Janet"/>
    <s v="Janet Comuntzis"/>
    <s v="jcomuntzis@zenco.com"/>
    <x v="17"/>
    <x v="1"/>
    <s v="02-West-2286 "/>
    <x v="0"/>
    <x v="0"/>
    <s v="2286 "/>
  </r>
  <r>
    <n v="1218"/>
    <s v="P"/>
    <s v="P1218"/>
    <s v="DECKER"/>
    <s v="Bob"/>
    <s v="Bob Decker"/>
    <s v="bdecker@zenco.com"/>
    <x v="18"/>
    <x v="6"/>
    <s v="01-East-2086 _x001f_"/>
    <x v="2"/>
    <x v="2"/>
    <s v="2086 _x001f_"/>
  </r>
  <r>
    <n v="1215"/>
    <s v="F"/>
    <s v="F1215"/>
    <s v="DESIATO"/>
    <s v="Tina"/>
    <s v="Tina Desiato"/>
    <s v="tdesiato@zenco.com"/>
    <x v="19"/>
    <x v="6"/>
    <s v="01-East-2358 "/>
    <x v="2"/>
    <x v="2"/>
    <s v="2358 "/>
  </r>
  <r>
    <n v="1241"/>
    <s v="P"/>
    <s v="P1241"/>
    <s v="DONNELL"/>
    <s v="Alexandra"/>
    <s v="Alexandra Donnell"/>
    <s v="adonnell@zenco.com"/>
    <x v="20"/>
    <x v="3"/>
    <s v="03-West-2082 "/>
    <x v="1"/>
    <x v="0"/>
    <s v="2082 "/>
  </r>
  <r>
    <n v="1246"/>
    <s v="F"/>
    <s v="F1246"/>
    <s v="ELLIS"/>
    <s v="Mark"/>
    <s v="Mark Ellis"/>
    <s v="mellis@zenco.com"/>
    <x v="21"/>
    <x v="6"/>
    <s v="03-NorthEast-2482 "/>
    <x v="1"/>
    <x v="1"/>
    <s v="2482 "/>
  </r>
  <r>
    <n v="1172"/>
    <s v="F"/>
    <s v="F1172"/>
    <s v="Fernandes"/>
    <s v="Nicholas"/>
    <s v="Nicholas Fernandes"/>
    <s v="nfernandes@zenco.com"/>
    <x v="22"/>
    <x v="3"/>
    <s v="02-East-2372 "/>
    <x v="0"/>
    <x v="2"/>
    <s v="2372 "/>
  </r>
  <r>
    <n v="1134"/>
    <s v="F"/>
    <s v="F1134"/>
    <s v="FERRIS"/>
    <s v="Mary"/>
    <s v="Mary Ferris"/>
    <s v="mferris@zenco.com"/>
    <x v="23"/>
    <x v="0"/>
    <s v="03-East-2392 "/>
    <x v="1"/>
    <x v="2"/>
    <s v="2392 "/>
  </r>
  <r>
    <n v="1150"/>
    <s v="F"/>
    <s v="F1150"/>
    <s v="FILOSA"/>
    <s v="Susan"/>
    <s v="Susan Filosa"/>
    <s v="sfilosa@zenco.com"/>
    <x v="24"/>
    <x v="1"/>
    <s v="02-West-2279 "/>
    <x v="0"/>
    <x v="0"/>
    <s v="2279 "/>
  </r>
  <r>
    <n v="1004"/>
    <s v="P"/>
    <s v="P1004"/>
    <s v="FLANDERS"/>
    <s v="Daniel"/>
    <s v="Daniel Flanders"/>
    <s v="dflanders@zenco.com"/>
    <x v="25"/>
    <x v="0"/>
    <s v="02-East-2639 "/>
    <x v="0"/>
    <x v="2"/>
    <s v="2639 "/>
  </r>
  <r>
    <n v="1239"/>
    <s v="F"/>
    <s v="F1239"/>
    <s v="Forrest"/>
    <s v="Leighton"/>
    <s v="Leighton Forrest"/>
    <s v="lforrest@zenco.com"/>
    <x v="26"/>
    <x v="0"/>
    <s v="02-East-2284 "/>
    <x v="0"/>
    <x v="2"/>
    <s v="2284 "/>
  </r>
  <r>
    <n v="1250"/>
    <s v="F"/>
    <s v="F1250"/>
    <s v="Gour"/>
    <s v="Phoebe"/>
    <s v="Phoebe Gour"/>
    <s v="pgour@zenco.com"/>
    <x v="27"/>
    <x v="0"/>
    <s v="02-East-2910 "/>
    <x v="0"/>
    <x v="2"/>
    <s v="2910 "/>
  </r>
  <r>
    <n v="1192"/>
    <s v="P"/>
    <s v="P1192"/>
    <s v="Khan"/>
    <s v="Mihael"/>
    <s v="Mihael Khan"/>
    <s v="mkhan@zenco.com"/>
    <x v="28"/>
    <x v="0"/>
    <s v="02-NorthEast-2294 "/>
    <x v="0"/>
    <x v="1"/>
    <s v="2294 "/>
  </r>
  <r>
    <n v="1249"/>
    <s v="P"/>
    <s v="P1249"/>
    <s v="SANDERS"/>
    <s v="Sean"/>
    <s v="Sean Sanders"/>
    <s v="ssanders@zenco.com"/>
    <x v="29"/>
    <x v="2"/>
    <s v="03-West-2765 "/>
    <x v="1"/>
    <x v="0"/>
    <s v="2765 "/>
  </r>
  <r>
    <n v="1245"/>
    <s v="P"/>
    <s v="P1245"/>
    <s v="Senome"/>
    <s v="Preston"/>
    <s v="Preston Senome"/>
    <s v="psenome@zenco.com"/>
    <x v="30"/>
    <x v="0"/>
    <s v="02-East-2260 "/>
    <x v="0"/>
    <x v="2"/>
    <s v="2260 "/>
  </r>
  <r>
    <n v="1207"/>
    <s v="P"/>
    <s v="P1207"/>
    <s v="Song"/>
    <s v="Natasha"/>
    <s v="Natasha Song"/>
    <s v="nsong@zenco.com"/>
    <x v="31"/>
    <x v="0"/>
    <s v="02-East-2578 "/>
    <x v="0"/>
    <x v="2"/>
    <s v="2578 "/>
  </r>
  <r>
    <n v="1244"/>
    <s v="P"/>
    <s v="P1244"/>
    <s v="Staples"/>
    <s v="Radhya"/>
    <s v="Radhya Staples"/>
    <s v="rstaples@zenco.com"/>
    <x v="32"/>
    <x v="0"/>
    <s v="02-East-2654 "/>
    <x v="0"/>
    <x v="2"/>
    <s v="2654 "/>
  </r>
  <r>
    <n v="1252"/>
    <s v="F"/>
    <s v="F1252"/>
    <s v="WANG"/>
    <s v="Mei"/>
    <s v="Mei Wang"/>
    <s v="mwang@zenco.com"/>
    <x v="33"/>
    <x v="4"/>
    <s v="01-West-2783 "/>
    <x v="2"/>
    <x v="0"/>
    <s v="2783 "/>
  </r>
  <r>
    <n v="1237"/>
    <s v="F"/>
    <s v="F1237"/>
    <s v="Zhang"/>
    <s v="Aanya"/>
    <s v="Aanya Zhang"/>
    <s v="azhang@zenco.com"/>
    <x v="34"/>
    <x v="0"/>
    <s v="02-East-2793 "/>
    <x v="0"/>
    <x v="2"/>
    <s v="2793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0F508E-4F89-4797-A954-2BF4019DB1C4}" name="PivotTable3" cacheId="1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I5:J9" firstHeaderRow="1" firstDataRow="1" firstDataCol="1"/>
  <pivotFields count="16">
    <pivotField showAll="0"/>
    <pivotField showAll="0"/>
    <pivotField dataField="1" showAll="0"/>
    <pivotField showAll="0"/>
    <pivotField showAll="0"/>
    <pivotField showAll="0"/>
    <pivotField showAll="0"/>
    <pivotField numFmtId="14" showAll="0">
      <items count="36">
        <item x="8"/>
        <item x="13"/>
        <item x="25"/>
        <item x="1"/>
        <item x="23"/>
        <item x="24"/>
        <item x="7"/>
        <item x="22"/>
        <item x="0"/>
        <item x="17"/>
        <item x="28"/>
        <item x="33"/>
        <item x="12"/>
        <item x="10"/>
        <item x="31"/>
        <item x="11"/>
        <item x="19"/>
        <item x="18"/>
        <item x="16"/>
        <item x="9"/>
        <item x="5"/>
        <item x="6"/>
        <item x="2"/>
        <item x="14"/>
        <item x="34"/>
        <item x="26"/>
        <item x="20"/>
        <item x="3"/>
        <item x="32"/>
        <item x="30"/>
        <item x="21"/>
        <item x="4"/>
        <item x="29"/>
        <item x="27"/>
        <item x="15"/>
        <item t="default"/>
      </items>
    </pivotField>
    <pivotField showAll="0">
      <items count="8">
        <item x="3"/>
        <item x="1"/>
        <item x="4"/>
        <item x="5"/>
        <item x="2"/>
        <item x="6"/>
        <item x="0"/>
        <item t="default"/>
      </items>
    </pivotField>
    <pivotField showAll="0"/>
    <pivotField axis="axisRow" showAll="0">
      <items count="4">
        <item x="2"/>
        <item x="0"/>
        <item x="1"/>
        <item t="default"/>
      </items>
    </pivotField>
    <pivotField showAll="0"/>
    <pivotField showAll="0"/>
    <pivotField showAll="0" defaultSubtotal="0"/>
    <pivotField showAll="0" defaultSubtotal="0"/>
    <pivotField showAll="0" defaultSubtotal="0">
      <items count="19">
        <item x="0"/>
        <item x="1"/>
        <item x="2"/>
        <item x="3"/>
        <item x="4"/>
        <item x="5"/>
        <item x="6"/>
        <item x="7"/>
        <item x="8"/>
        <item x="9"/>
        <item x="10"/>
        <item x="11"/>
        <item x="12"/>
        <item x="13"/>
        <item x="14"/>
        <item x="15"/>
        <item x="16"/>
        <item x="17"/>
        <item x="18"/>
      </items>
    </pivotField>
  </pivotFields>
  <rowFields count="1">
    <field x="10"/>
  </rowFields>
  <rowItems count="4">
    <i>
      <x/>
    </i>
    <i>
      <x v="1"/>
    </i>
    <i>
      <x v="2"/>
    </i>
    <i t="grand">
      <x/>
    </i>
  </rowItems>
  <colItems count="1">
    <i/>
  </colItems>
  <dataFields count="1">
    <dataField name="Count of Emp ID" fld="2" subtotal="count"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9472C9-1A9E-41B0-934E-4E6BA886076B}" name="PivotTable2" cacheId="1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E5:F9" firstHeaderRow="1" firstDataRow="1" firstDataCol="1"/>
  <pivotFields count="16">
    <pivotField showAll="0"/>
    <pivotField showAll="0"/>
    <pivotField dataField="1" showAll="0"/>
    <pivotField showAll="0"/>
    <pivotField showAll="0"/>
    <pivotField showAll="0"/>
    <pivotField showAll="0"/>
    <pivotField numFmtId="14" showAll="0">
      <items count="36">
        <item x="8"/>
        <item x="13"/>
        <item x="25"/>
        <item x="1"/>
        <item x="23"/>
        <item x="24"/>
        <item x="7"/>
        <item x="22"/>
        <item x="0"/>
        <item x="17"/>
        <item x="28"/>
        <item x="33"/>
        <item x="12"/>
        <item x="10"/>
        <item x="31"/>
        <item x="11"/>
        <item x="19"/>
        <item x="18"/>
        <item x="16"/>
        <item x="9"/>
        <item x="5"/>
        <item x="6"/>
        <item x="2"/>
        <item x="14"/>
        <item x="34"/>
        <item x="26"/>
        <item x="20"/>
        <item x="3"/>
        <item x="32"/>
        <item x="30"/>
        <item x="21"/>
        <item x="4"/>
        <item x="29"/>
        <item x="27"/>
        <item x="15"/>
        <item t="default"/>
      </items>
    </pivotField>
    <pivotField showAll="0">
      <items count="8">
        <item x="3"/>
        <item x="1"/>
        <item x="4"/>
        <item x="5"/>
        <item x="2"/>
        <item x="6"/>
        <item x="0"/>
        <item t="default"/>
      </items>
    </pivotField>
    <pivotField showAll="0"/>
    <pivotField showAll="0"/>
    <pivotField axis="axisRow" showAll="0">
      <items count="4">
        <item x="2"/>
        <item x="1"/>
        <item x="0"/>
        <item t="default"/>
      </items>
    </pivotField>
    <pivotField showAll="0"/>
    <pivotField showAll="0" defaultSubtotal="0"/>
    <pivotField showAll="0" defaultSubtotal="0"/>
    <pivotField showAll="0" defaultSubtotal="0">
      <items count="19">
        <item x="0"/>
        <item x="1"/>
        <item x="2"/>
        <item x="3"/>
        <item x="4"/>
        <item x="5"/>
        <item x="6"/>
        <item x="7"/>
        <item x="8"/>
        <item x="9"/>
        <item x="10"/>
        <item x="11"/>
        <item x="12"/>
        <item x="13"/>
        <item x="14"/>
        <item x="15"/>
        <item x="16"/>
        <item x="17"/>
        <item x="18"/>
      </items>
    </pivotField>
  </pivotFields>
  <rowFields count="1">
    <field x="11"/>
  </rowFields>
  <rowItems count="4">
    <i>
      <x/>
    </i>
    <i>
      <x v="1"/>
    </i>
    <i>
      <x v="2"/>
    </i>
    <i t="grand">
      <x/>
    </i>
  </rowItems>
  <colItems count="1">
    <i/>
  </colItems>
  <dataFields count="1">
    <dataField name="Count of Emp ID" fld="2" subtotal="count" baseField="0" baseItem="0"/>
  </dataFields>
  <chartFormats count="4">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1" count="1" selected="0">
            <x v="0"/>
          </reference>
        </references>
      </pivotArea>
    </chartFormat>
    <chartFormat chart="1" format="3">
      <pivotArea type="data" outline="0" fieldPosition="0">
        <references count="2">
          <reference field="4294967294" count="1" selected="0">
            <x v="0"/>
          </reference>
          <reference field="11" count="1" selected="0">
            <x v="1"/>
          </reference>
        </references>
      </pivotArea>
    </chartFormat>
    <chartFormat chart="1" format="4">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A48D8D-F011-4FD3-818E-E1212BDF2AC9}" name="PivotTable1" cacheId="1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5:B13" firstHeaderRow="1" firstDataRow="1" firstDataCol="1"/>
  <pivotFields count="16">
    <pivotField showAll="0"/>
    <pivotField showAll="0"/>
    <pivotField dataField="1" showAll="0"/>
    <pivotField showAll="0"/>
    <pivotField showAll="0"/>
    <pivotField showAll="0"/>
    <pivotField showAll="0"/>
    <pivotField numFmtId="14" showAll="0">
      <items count="36">
        <item x="8"/>
        <item x="13"/>
        <item x="25"/>
        <item x="1"/>
        <item x="23"/>
        <item x="24"/>
        <item x="7"/>
        <item x="22"/>
        <item x="0"/>
        <item x="17"/>
        <item x="28"/>
        <item x="33"/>
        <item x="12"/>
        <item x="10"/>
        <item x="31"/>
        <item x="11"/>
        <item x="19"/>
        <item x="18"/>
        <item x="16"/>
        <item x="9"/>
        <item x="5"/>
        <item x="6"/>
        <item x="2"/>
        <item x="14"/>
        <item x="34"/>
        <item x="26"/>
        <item x="20"/>
        <item x="3"/>
        <item x="32"/>
        <item x="30"/>
        <item x="21"/>
        <item x="4"/>
        <item x="29"/>
        <item x="27"/>
        <item x="15"/>
        <item t="default"/>
      </items>
    </pivotField>
    <pivotField axis="axisRow" showAll="0">
      <items count="8">
        <item x="3"/>
        <item x="1"/>
        <item x="4"/>
        <item x="5"/>
        <item x="2"/>
        <item x="6"/>
        <item x="0"/>
        <item t="default"/>
      </items>
    </pivotField>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20">
        <item sd="0" x="0"/>
        <item sd="0" x="1"/>
        <item sd="0" x="2"/>
        <item sd="0" x="3"/>
        <item sd="0" x="4"/>
        <item sd="0" x="5"/>
        <item sd="0" x="6"/>
        <item sd="0" x="7"/>
        <item sd="0" x="8"/>
        <item sd="0" x="9"/>
        <item sd="0" x="10"/>
        <item sd="0" x="11"/>
        <item sd="0" x="12"/>
        <item sd="0" x="13"/>
        <item sd="0" x="14"/>
        <item sd="0" x="15"/>
        <item sd="0" x="16"/>
        <item sd="0" x="17"/>
        <item sd="0" x="18"/>
        <item t="default"/>
      </items>
    </pivotField>
  </pivotFields>
  <rowFields count="1">
    <field x="8"/>
  </rowFields>
  <rowItems count="8">
    <i>
      <x/>
    </i>
    <i>
      <x v="1"/>
    </i>
    <i>
      <x v="2"/>
    </i>
    <i>
      <x v="3"/>
    </i>
    <i>
      <x v="4"/>
    </i>
    <i>
      <x v="5"/>
    </i>
    <i>
      <x v="6"/>
    </i>
    <i t="grand">
      <x/>
    </i>
  </rowItems>
  <colItems count="1">
    <i/>
  </colItems>
  <dataFields count="1">
    <dataField name="Count of Emp ID" fld="2" subtotal="count" baseField="0" baseItem="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865E22FF-75F5-464B-A235-D8466D7078C9}" sourceName="Department">
  <pivotTables>
    <pivotTable tabId="6" name="PivotTable1"/>
    <pivotTable tabId="6" name="PivotTable2"/>
    <pivotTable tabId="6" name="PivotTable3"/>
  </pivotTables>
  <data>
    <tabular pivotCacheId="893220025">
      <items count="7">
        <i x="3" s="1"/>
        <i x="1" s="1"/>
        <i x="4" s="1"/>
        <i x="5" s="1"/>
        <i x="2" s="1"/>
        <i x="6"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g" xr10:uid="{FBE4AC41-F7B0-462F-BB4F-BA4095D82E92}" sourceName="Wing">
  <pivotTables>
    <pivotTable tabId="6" name="PivotTable2"/>
  </pivotTables>
  <data>
    <tabular pivotCacheId="893220025">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oor_No." xr10:uid="{F760061D-07E3-48EF-A69D-59B45BA1956B}" sourceName="Floor No.">
  <pivotTables>
    <pivotTable tabId="6" name="PivotTable3"/>
  </pivotTables>
  <data>
    <tabular pivotCacheId="893220025">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3F471B64-A799-45E6-A29E-4F9200E41158}" cache="Slicer_Department" caption="Department" style="SlicerStyleOther2" rowHeight="241300"/>
  <slicer name="Wing" xr10:uid="{A501E2E5-D458-47A9-9F8A-D074A0844205}" cache="Slicer_Wing" caption="Wing" style="SlicerStyleOther2" rowHeight="241300"/>
  <slicer name="Floor No." xr10:uid="{7C946AEC-46B9-4CAC-B75D-E6591C1F6625}" cache="Slicer_Floor_No." caption="Floor No." style="SlicerStyleOther2" rowHeight="241300"/>
</slicer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BOC">
  <a:themeElements>
    <a:clrScheme name="BOC2">
      <a:dk1>
        <a:sysClr val="windowText" lastClr="000000"/>
      </a:dk1>
      <a:lt1>
        <a:sysClr val="window" lastClr="FFFFFF"/>
      </a:lt1>
      <a:dk2>
        <a:srgbClr val="44546A"/>
      </a:dk2>
      <a:lt2>
        <a:srgbClr val="E7E6E6"/>
      </a:lt2>
      <a:accent1>
        <a:srgbClr val="B30738"/>
      </a:accent1>
      <a:accent2>
        <a:srgbClr val="A5A5A5"/>
      </a:accent2>
      <a:accent3>
        <a:srgbClr val="595959"/>
      </a:accent3>
      <a:accent4>
        <a:srgbClr val="4472C4"/>
      </a:accent4>
      <a:accent5>
        <a:srgbClr val="5B9BD5"/>
      </a:accent5>
      <a:accent6>
        <a:srgbClr val="8B1324"/>
      </a:accent6>
      <a:hlink>
        <a:srgbClr val="4472C4"/>
      </a:hlink>
      <a:folHlink>
        <a:srgbClr val="4472C4"/>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535D1-C836-4F64-B2E2-7578EE4D7B3D}">
  <sheetPr codeName="Sheet1"/>
  <dimension ref="B2:P27"/>
  <sheetViews>
    <sheetView showGridLines="0" zoomScale="120" zoomScaleNormal="120" workbookViewId="0">
      <selection activeCell="C26" sqref="C26"/>
    </sheetView>
  </sheetViews>
  <sheetFormatPr defaultRowHeight="15" x14ac:dyDescent="0.25"/>
  <cols>
    <col min="1" max="1" width="5.28515625" customWidth="1"/>
    <col min="2" max="2" width="4.42578125" style="7" customWidth="1"/>
    <col min="8" max="8" width="16.85546875" customWidth="1"/>
    <col min="15" max="15" width="23.42578125" customWidth="1"/>
    <col min="16" max="16" width="7.42578125" customWidth="1"/>
  </cols>
  <sheetData>
    <row r="2" spans="2:16" ht="31.5" x14ac:dyDescent="0.5">
      <c r="I2" s="13" t="s">
        <v>148</v>
      </c>
      <c r="J2" s="13"/>
      <c r="K2" s="13"/>
      <c r="L2" s="13"/>
      <c r="M2" s="13"/>
      <c r="N2" s="13"/>
      <c r="O2" s="13"/>
      <c r="P2" s="13"/>
    </row>
    <row r="3" spans="2:16" ht="21" x14ac:dyDescent="0.35">
      <c r="I3" s="14" t="s">
        <v>149</v>
      </c>
      <c r="J3" s="14"/>
      <c r="K3" s="14"/>
      <c r="L3" s="14"/>
      <c r="M3" s="14"/>
      <c r="N3" s="14"/>
      <c r="O3" s="14"/>
      <c r="P3" s="14"/>
    </row>
    <row r="4" spans="2:16" ht="17.649999999999999" customHeight="1" x14ac:dyDescent="0.25"/>
    <row r="5" spans="2:16" ht="21.4" customHeight="1" x14ac:dyDescent="0.25">
      <c r="I5" s="12" t="s">
        <v>137</v>
      </c>
      <c r="J5" s="12"/>
      <c r="K5" s="12"/>
      <c r="L5" s="12"/>
      <c r="M5" s="12"/>
      <c r="N5" s="12"/>
      <c r="O5" s="12"/>
      <c r="P5" s="12"/>
    </row>
    <row r="8" spans="2:16" ht="19.5" thickBot="1" x14ac:dyDescent="0.35">
      <c r="B8" s="11" t="s">
        <v>118</v>
      </c>
      <c r="C8" s="6"/>
      <c r="D8" s="6"/>
      <c r="E8" s="6"/>
      <c r="F8" s="6"/>
      <c r="G8" s="6"/>
      <c r="H8" s="6"/>
      <c r="I8" s="6"/>
      <c r="J8" s="6"/>
      <c r="K8" s="6"/>
      <c r="L8" s="6"/>
      <c r="M8" s="6"/>
      <c r="N8" s="6"/>
      <c r="O8" s="6"/>
      <c r="P8" s="6"/>
    </row>
    <row r="9" spans="2:16" x14ac:dyDescent="0.25">
      <c r="B9" t="s">
        <v>138</v>
      </c>
    </row>
    <row r="10" spans="2:16" ht="8.25" customHeight="1" x14ac:dyDescent="0.25"/>
    <row r="11" spans="2:16" x14ac:dyDescent="0.25">
      <c r="B11" s="7" t="s">
        <v>119</v>
      </c>
      <c r="C11" t="s">
        <v>139</v>
      </c>
    </row>
    <row r="12" spans="2:16" ht="8.25" customHeight="1" x14ac:dyDescent="0.25"/>
    <row r="13" spans="2:16" x14ac:dyDescent="0.25">
      <c r="B13" s="7" t="s">
        <v>121</v>
      </c>
      <c r="C13" t="s">
        <v>145</v>
      </c>
    </row>
    <row r="14" spans="2:16" ht="8.25" customHeight="1" x14ac:dyDescent="0.25"/>
    <row r="15" spans="2:16" x14ac:dyDescent="0.25">
      <c r="B15" s="7" t="s">
        <v>132</v>
      </c>
      <c r="C15" t="s">
        <v>140</v>
      </c>
    </row>
    <row r="16" spans="2:16" x14ac:dyDescent="0.25">
      <c r="B16" s="7" t="s">
        <v>120</v>
      </c>
      <c r="C16" t="s">
        <v>146</v>
      </c>
    </row>
    <row r="17" spans="2:16" ht="8.25" customHeight="1" x14ac:dyDescent="0.25"/>
    <row r="18" spans="2:16" x14ac:dyDescent="0.25">
      <c r="B18" s="7" t="s">
        <v>133</v>
      </c>
      <c r="C18" t="s">
        <v>142</v>
      </c>
      <c r="P18" s="8" t="s">
        <v>122</v>
      </c>
    </row>
    <row r="19" spans="2:16" x14ac:dyDescent="0.25">
      <c r="B19" s="7" t="s">
        <v>120</v>
      </c>
      <c r="C19" t="s">
        <v>147</v>
      </c>
    </row>
    <row r="20" spans="2:16" ht="8.25" customHeight="1" x14ac:dyDescent="0.25"/>
    <row r="21" spans="2:16" x14ac:dyDescent="0.25">
      <c r="B21" s="7" t="s">
        <v>130</v>
      </c>
      <c r="C21" t="s">
        <v>143</v>
      </c>
      <c r="P21" s="8" t="s">
        <v>122</v>
      </c>
    </row>
    <row r="22" spans="2:16" x14ac:dyDescent="0.25">
      <c r="B22" s="7" t="s">
        <v>120</v>
      </c>
      <c r="C22" t="s">
        <v>141</v>
      </c>
    </row>
    <row r="23" spans="2:16" ht="8.25" customHeight="1" x14ac:dyDescent="0.25"/>
    <row r="24" spans="2:16" x14ac:dyDescent="0.25">
      <c r="B24" s="7" t="s">
        <v>131</v>
      </c>
      <c r="C24" t="s">
        <v>144</v>
      </c>
    </row>
    <row r="25" spans="2:16" x14ac:dyDescent="0.25">
      <c r="B25" s="7" t="s">
        <v>120</v>
      </c>
      <c r="C25" t="s">
        <v>134</v>
      </c>
      <c r="P25" s="8" t="s">
        <v>122</v>
      </c>
    </row>
    <row r="26" spans="2:16" x14ac:dyDescent="0.25">
      <c r="B26" s="7" t="s">
        <v>150</v>
      </c>
      <c r="C26" t="s">
        <v>151</v>
      </c>
    </row>
    <row r="27" spans="2:16" x14ac:dyDescent="0.25">
      <c r="B27" s="10" t="s">
        <v>136</v>
      </c>
    </row>
  </sheetData>
  <mergeCells count="3">
    <mergeCell ref="I5:P5"/>
    <mergeCell ref="I2:P2"/>
    <mergeCell ref="I3:P3"/>
  </mergeCells>
  <dataValidations count="3">
    <dataValidation allowBlank="1" showInputMessage="1" showErrorMessage="1" promptTitle="Hint:" prompt="You will need to use a LEFT function as well as a CONCATENATE or &amp;." sqref="P18" xr:uid="{1B82BFE0-3A03-46B5-80F3-AED050C99618}"/>
    <dataValidation allowBlank="1" showInputMessage="1" showErrorMessage="1" promptTitle="Hint:" prompt="There are extra characters at the end of the location data. Try finding out what they are and then use CLEAN, UNICHAR and SUBSTITUTE to remove them." sqref="P25" xr:uid="{061A439B-B230-4B2F-B263-DE3D87D93714}"/>
    <dataValidation allowBlank="1" showInputMessage="1" showErrorMessage="1" promptTitle="Hint:" prompt="You will need to use a MID and a FIND." sqref="P21" xr:uid="{6E0AF74D-7A94-4F91-98F3-2D44927E44D9}"/>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74C27-B618-47D2-9F6C-E09455EC6C7F}">
  <sheetPr codeName="Sheet2"/>
  <dimension ref="A3:J13"/>
  <sheetViews>
    <sheetView workbookViewId="0">
      <selection activeCell="I3" sqref="I3"/>
    </sheetView>
  </sheetViews>
  <sheetFormatPr defaultRowHeight="15" x14ac:dyDescent="0.25"/>
  <cols>
    <col min="1" max="1" width="16.85546875" bestFit="1" customWidth="1"/>
    <col min="2" max="2" width="15.28515625" bestFit="1" customWidth="1"/>
    <col min="3" max="3" width="15.140625" bestFit="1" customWidth="1"/>
    <col min="5" max="5" width="13.140625" bestFit="1" customWidth="1"/>
    <col min="6" max="6" width="15.28515625" bestFit="1" customWidth="1"/>
    <col min="9" max="9" width="13.140625" bestFit="1" customWidth="1"/>
    <col min="10" max="10" width="15.28515625" bestFit="1" customWidth="1"/>
  </cols>
  <sheetData>
    <row r="3" spans="1:10" x14ac:dyDescent="0.25">
      <c r="A3" s="15" t="s">
        <v>163</v>
      </c>
      <c r="E3" s="15" t="s">
        <v>164</v>
      </c>
      <c r="I3" s="15" t="s">
        <v>165</v>
      </c>
    </row>
    <row r="5" spans="1:10" x14ac:dyDescent="0.25">
      <c r="A5" s="25" t="s">
        <v>157</v>
      </c>
      <c r="B5" t="s">
        <v>162</v>
      </c>
      <c r="E5" s="25" t="s">
        <v>157</v>
      </c>
      <c r="F5" t="s">
        <v>162</v>
      </c>
      <c r="I5" s="25" t="s">
        <v>157</v>
      </c>
      <c r="J5" t="s">
        <v>162</v>
      </c>
    </row>
    <row r="6" spans="1:10" x14ac:dyDescent="0.25">
      <c r="A6" s="10" t="s">
        <v>15</v>
      </c>
      <c r="B6" s="24">
        <v>4</v>
      </c>
      <c r="E6" s="10" t="s">
        <v>160</v>
      </c>
      <c r="F6" s="24">
        <v>15</v>
      </c>
      <c r="I6" s="10">
        <v>1</v>
      </c>
      <c r="J6" s="24">
        <v>5</v>
      </c>
    </row>
    <row r="7" spans="1:10" x14ac:dyDescent="0.25">
      <c r="A7" s="10" t="s">
        <v>30</v>
      </c>
      <c r="B7" s="24">
        <v>5</v>
      </c>
      <c r="E7" s="10" t="s">
        <v>161</v>
      </c>
      <c r="F7" s="24">
        <v>4</v>
      </c>
      <c r="I7" s="10">
        <v>2</v>
      </c>
      <c r="J7" s="24">
        <v>20</v>
      </c>
    </row>
    <row r="8" spans="1:10" x14ac:dyDescent="0.25">
      <c r="A8" s="10" t="s">
        <v>28</v>
      </c>
      <c r="B8" s="24">
        <v>2</v>
      </c>
      <c r="E8" s="10" t="s">
        <v>159</v>
      </c>
      <c r="F8" s="24">
        <v>16</v>
      </c>
      <c r="I8" s="10">
        <v>3</v>
      </c>
      <c r="J8" s="24">
        <v>10</v>
      </c>
    </row>
    <row r="9" spans="1:10" x14ac:dyDescent="0.25">
      <c r="A9" s="10" t="s">
        <v>12</v>
      </c>
      <c r="B9" s="24">
        <v>1</v>
      </c>
      <c r="E9" s="10" t="s">
        <v>158</v>
      </c>
      <c r="F9" s="24">
        <v>35</v>
      </c>
      <c r="I9" s="10" t="s">
        <v>158</v>
      </c>
      <c r="J9" s="24">
        <v>35</v>
      </c>
    </row>
    <row r="10" spans="1:10" x14ac:dyDescent="0.25">
      <c r="A10" s="10" t="s">
        <v>17</v>
      </c>
      <c r="B10" s="24">
        <v>3</v>
      </c>
    </row>
    <row r="11" spans="1:10" x14ac:dyDescent="0.25">
      <c r="A11" s="10" t="s">
        <v>77</v>
      </c>
      <c r="B11" s="24">
        <v>5</v>
      </c>
    </row>
    <row r="12" spans="1:10" x14ac:dyDescent="0.25">
      <c r="A12" s="10" t="s">
        <v>69</v>
      </c>
      <c r="B12" s="24">
        <v>15</v>
      </c>
    </row>
    <row r="13" spans="1:10" x14ac:dyDescent="0.25">
      <c r="A13" s="10" t="s">
        <v>158</v>
      </c>
      <c r="B13" s="24">
        <v>35</v>
      </c>
    </row>
  </sheetData>
  <pageMargins left="0.7" right="0.7" top="0.75" bottom="0.75" header="0.3" footer="0.3"/>
  <pageSetup paperSize="9" orientation="portrait"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M38"/>
  <sheetViews>
    <sheetView topLeftCell="A3" zoomScaleNormal="100" workbookViewId="0">
      <selection activeCell="E23" sqref="E23"/>
    </sheetView>
  </sheetViews>
  <sheetFormatPr defaultRowHeight="15" x14ac:dyDescent="0.25"/>
  <cols>
    <col min="1" max="1" width="8.7109375" style="10" customWidth="1"/>
    <col min="2" max="2" width="13" bestFit="1" customWidth="1"/>
    <col min="3" max="3" width="14.5703125" customWidth="1"/>
    <col min="4" max="5" width="13" customWidth="1"/>
    <col min="6" max="6" width="18.85546875" customWidth="1"/>
    <col min="7" max="7" width="22.42578125" customWidth="1"/>
    <col min="8" max="8" width="14" customWidth="1"/>
    <col min="9" max="9" width="17.7109375" customWidth="1"/>
    <col min="10" max="10" width="18.7109375" customWidth="1"/>
    <col min="11" max="11" width="10.140625" customWidth="1"/>
    <col min="12" max="12" width="10.7109375" customWidth="1"/>
    <col min="13" max="13" width="12.7109375" customWidth="1"/>
  </cols>
  <sheetData>
    <row r="1" spans="1:13" ht="23.25" x14ac:dyDescent="0.35">
      <c r="A1" s="9" t="s">
        <v>81</v>
      </c>
      <c r="B1" s="3"/>
      <c r="C1" s="3"/>
    </row>
    <row r="3" spans="1:13" ht="31.5" x14ac:dyDescent="0.25">
      <c r="A3" s="4" t="s">
        <v>129</v>
      </c>
      <c r="B3" s="4" t="s">
        <v>126</v>
      </c>
      <c r="C3" s="4" t="s">
        <v>0</v>
      </c>
      <c r="D3" s="4" t="s">
        <v>124</v>
      </c>
      <c r="E3" s="4" t="s">
        <v>125</v>
      </c>
      <c r="F3" s="4" t="s">
        <v>1</v>
      </c>
      <c r="G3" s="4" t="s">
        <v>2</v>
      </c>
      <c r="H3" s="4" t="s">
        <v>3</v>
      </c>
      <c r="I3" s="4" t="s">
        <v>4</v>
      </c>
      <c r="J3" s="4" t="s">
        <v>5</v>
      </c>
      <c r="K3" s="4" t="s">
        <v>123</v>
      </c>
      <c r="L3" s="4" t="s">
        <v>80</v>
      </c>
      <c r="M3" s="4" t="s">
        <v>135</v>
      </c>
    </row>
    <row r="4" spans="1:13" x14ac:dyDescent="0.25">
      <c r="A4" s="10">
        <v>1180</v>
      </c>
      <c r="B4" t="s">
        <v>127</v>
      </c>
      <c r="C4" t="str">
        <f>B4&amp;A4</f>
        <v>F1180</v>
      </c>
      <c r="D4" t="s">
        <v>82</v>
      </c>
      <c r="E4" s="5" t="s">
        <v>62</v>
      </c>
      <c r="F4" t="str">
        <f>PROPER(E4&amp;" "&amp;D4)</f>
        <v>Stevie Bacata</v>
      </c>
      <c r="G4" t="str">
        <f>LOWER(LEFT(E4,1)&amp;D4&amp;"@zenco.com")</f>
        <v>sbacata@zenco.com</v>
      </c>
      <c r="H4" s="1">
        <v>39551</v>
      </c>
      <c r="I4" s="2" t="s">
        <v>69</v>
      </c>
      <c r="J4" s="2" t="s">
        <v>83</v>
      </c>
      <c r="K4" s="2">
        <f>--LEFT(J4,2)</f>
        <v>2</v>
      </c>
      <c r="L4" t="str">
        <f>SUBSTITUTE(
 MID(J4,FIND("-",J4)+1,FIND("-",J4,FIND("-",J4)+1)-FIND("-",J4)-1),
 "NorthEast","North"
)</f>
        <v>West</v>
      </c>
      <c r="M4" t="str">
        <f>TEXT(RIGHT(J4,LEN(J4)-FIND("-",J4,FIND("-",J4)+1)),"0000")</f>
        <v>2635 </v>
      </c>
    </row>
    <row r="5" spans="1:13" x14ac:dyDescent="0.25">
      <c r="A5" s="10">
        <v>1110</v>
      </c>
      <c r="B5" t="s">
        <v>127</v>
      </c>
      <c r="C5" t="str">
        <f t="shared" ref="C5:C38" si="0">B5&amp;A5</f>
        <v>F1110</v>
      </c>
      <c r="D5" t="s">
        <v>7</v>
      </c>
      <c r="E5" s="5" t="s">
        <v>11</v>
      </c>
      <c r="F5" t="str">
        <f t="shared" ref="F5:F38" si="1">PROPER(E5&amp;" "&amp;D5)</f>
        <v>Adam Barry</v>
      </c>
      <c r="G5" t="str">
        <f t="shared" ref="G5:G38" si="2">LOWER(LEFT(E5,1)&amp;D5&amp;"@zenco.com")</f>
        <v>abarry@zenco.com</v>
      </c>
      <c r="H5" s="1">
        <v>38099</v>
      </c>
      <c r="I5" s="2" t="s">
        <v>30</v>
      </c>
      <c r="J5" s="2" t="s">
        <v>84</v>
      </c>
      <c r="K5" s="2">
        <f t="shared" ref="K5:K38" si="3">--LEFT(J5,2)</f>
        <v>2</v>
      </c>
      <c r="L5" t="str">
        <f t="shared" ref="L5:L38" si="4">SUBSTITUTE(
 MID(J5,FIND("-",J5)+1,FIND("-",J5,FIND("-",J5)+1)-FIND("-",J5)-1),
 "NorthEast","North"
)</f>
        <v>West</v>
      </c>
      <c r="M5" t="str">
        <f t="shared" ref="M5:M38" si="5">TEXT(RIGHT(J5,LEN(J5)-FIND("-",J5,FIND("-",J5)+1)),"0000")</f>
        <v>2018 </v>
      </c>
    </row>
    <row r="6" spans="1:13" x14ac:dyDescent="0.25">
      <c r="A6" s="10">
        <v>1232</v>
      </c>
      <c r="B6" t="s">
        <v>127</v>
      </c>
      <c r="C6" t="str">
        <f t="shared" si="0"/>
        <v>F1232</v>
      </c>
      <c r="D6" t="s">
        <v>57</v>
      </c>
      <c r="E6" s="5" t="s">
        <v>56</v>
      </c>
      <c r="F6" t="str">
        <f t="shared" si="1"/>
        <v>Connor Betts</v>
      </c>
      <c r="G6" t="str">
        <f t="shared" si="2"/>
        <v>cbetts@zenco.com</v>
      </c>
      <c r="H6" s="1">
        <v>41956</v>
      </c>
      <c r="I6" s="2" t="s">
        <v>69</v>
      </c>
      <c r="J6" s="2" t="s">
        <v>85</v>
      </c>
      <c r="K6" s="2">
        <f t="shared" si="3"/>
        <v>2</v>
      </c>
      <c r="L6" t="str">
        <f t="shared" si="4"/>
        <v>North</v>
      </c>
      <c r="M6" t="str">
        <f t="shared" si="5"/>
        <v>2347 </v>
      </c>
    </row>
    <row r="7" spans="1:13" x14ac:dyDescent="0.25">
      <c r="A7" s="10">
        <v>1243</v>
      </c>
      <c r="B7" t="s">
        <v>128</v>
      </c>
      <c r="C7" t="str">
        <f t="shared" si="0"/>
        <v>P1243</v>
      </c>
      <c r="D7" t="s">
        <v>39</v>
      </c>
      <c r="E7" s="5" t="s">
        <v>38</v>
      </c>
      <c r="F7" t="str">
        <f t="shared" si="1"/>
        <v>Fred Binga</v>
      </c>
      <c r="G7" t="str">
        <f t="shared" si="2"/>
        <v>fbinga@zenco.com</v>
      </c>
      <c r="H7" s="1">
        <v>42229</v>
      </c>
      <c r="I7" s="2" t="s">
        <v>17</v>
      </c>
      <c r="J7" s="2" t="s">
        <v>86</v>
      </c>
      <c r="K7" s="2">
        <f t="shared" si="3"/>
        <v>3</v>
      </c>
      <c r="L7" t="str">
        <f t="shared" si="4"/>
        <v>West</v>
      </c>
      <c r="M7" t="str">
        <f t="shared" si="5"/>
        <v>2764 </v>
      </c>
    </row>
    <row r="8" spans="1:13" x14ac:dyDescent="0.25">
      <c r="A8" s="10">
        <v>1248</v>
      </c>
      <c r="B8" t="s">
        <v>128</v>
      </c>
      <c r="C8" t="str">
        <f t="shared" si="0"/>
        <v>P1248</v>
      </c>
      <c r="D8" t="s">
        <v>59</v>
      </c>
      <c r="E8" s="5" t="s">
        <v>58</v>
      </c>
      <c r="F8" t="str">
        <f t="shared" si="1"/>
        <v>Yvette Biti</v>
      </c>
      <c r="G8" t="str">
        <f t="shared" si="2"/>
        <v>ybiti@zenco.com</v>
      </c>
      <c r="H8" s="1">
        <v>42384</v>
      </c>
      <c r="I8" s="2" t="s">
        <v>69</v>
      </c>
      <c r="J8" s="2" t="s">
        <v>115</v>
      </c>
      <c r="K8" s="2">
        <f t="shared" si="3"/>
        <v>2</v>
      </c>
      <c r="L8" t="str">
        <f t="shared" si="4"/>
        <v>West</v>
      </c>
      <c r="M8" t="str">
        <f t="shared" si="5"/>
        <v>2589 _x001F_</v>
      </c>
    </row>
    <row r="9" spans="1:13" x14ac:dyDescent="0.25">
      <c r="A9" s="10">
        <v>1227</v>
      </c>
      <c r="B9" t="s">
        <v>128</v>
      </c>
      <c r="C9" t="str">
        <f t="shared" si="0"/>
        <v>P1227</v>
      </c>
      <c r="D9" t="s">
        <v>25</v>
      </c>
      <c r="E9" s="5" t="s">
        <v>36</v>
      </c>
      <c r="F9" t="str">
        <f t="shared" si="1"/>
        <v>Jim Boller</v>
      </c>
      <c r="G9" t="str">
        <f t="shared" si="2"/>
        <v>jboller@zenco.com</v>
      </c>
      <c r="H9" s="1">
        <v>41893</v>
      </c>
      <c r="I9" s="2" t="s">
        <v>15</v>
      </c>
      <c r="J9" s="2" t="s">
        <v>87</v>
      </c>
      <c r="K9" s="2">
        <f t="shared" si="3"/>
        <v>3</v>
      </c>
      <c r="L9" t="str">
        <f t="shared" si="4"/>
        <v>East</v>
      </c>
      <c r="M9" t="str">
        <f t="shared" si="5"/>
        <v>2318 </v>
      </c>
    </row>
    <row r="10" spans="1:13" x14ac:dyDescent="0.25">
      <c r="A10" s="10">
        <v>1230</v>
      </c>
      <c r="B10" t="s">
        <v>128</v>
      </c>
      <c r="C10" t="str">
        <f t="shared" si="0"/>
        <v>P1230</v>
      </c>
      <c r="D10" t="s">
        <v>61</v>
      </c>
      <c r="E10" s="5" t="s">
        <v>60</v>
      </c>
      <c r="F10" t="str">
        <f t="shared" si="1"/>
        <v>Charlie Bui</v>
      </c>
      <c r="G10" t="str">
        <f t="shared" si="2"/>
        <v>cbui@zenco.com</v>
      </c>
      <c r="H10" s="1">
        <v>41903</v>
      </c>
      <c r="I10" s="2" t="s">
        <v>69</v>
      </c>
      <c r="J10" s="2" t="s">
        <v>88</v>
      </c>
      <c r="K10" s="2">
        <f t="shared" si="3"/>
        <v>2</v>
      </c>
      <c r="L10" t="str">
        <f t="shared" si="4"/>
        <v>East</v>
      </c>
      <c r="M10" t="str">
        <f t="shared" si="5"/>
        <v>2694 </v>
      </c>
    </row>
    <row r="11" spans="1:13" x14ac:dyDescent="0.25">
      <c r="A11" s="10">
        <v>1162</v>
      </c>
      <c r="B11" t="s">
        <v>127</v>
      </c>
      <c r="C11" t="str">
        <f t="shared" si="0"/>
        <v>F1162</v>
      </c>
      <c r="D11" t="s">
        <v>43</v>
      </c>
      <c r="E11" s="5" t="s">
        <v>41</v>
      </c>
      <c r="F11" t="str">
        <f t="shared" si="1"/>
        <v>Barbara Carlton</v>
      </c>
      <c r="G11" t="str">
        <f t="shared" si="2"/>
        <v>bcarlton@zenco.com</v>
      </c>
      <c r="H11" s="1">
        <v>38798</v>
      </c>
      <c r="I11" s="2" t="s">
        <v>69</v>
      </c>
      <c r="J11" s="2" t="s">
        <v>89</v>
      </c>
      <c r="K11" s="2">
        <f t="shared" si="3"/>
        <v>2</v>
      </c>
      <c r="L11" t="str">
        <f t="shared" si="4"/>
        <v>West</v>
      </c>
      <c r="M11" t="str">
        <f t="shared" si="5"/>
        <v>2699 </v>
      </c>
    </row>
    <row r="12" spans="1:13" x14ac:dyDescent="0.25">
      <c r="A12" s="10">
        <v>1001</v>
      </c>
      <c r="B12" t="s">
        <v>128</v>
      </c>
      <c r="C12" t="str">
        <f t="shared" si="0"/>
        <v>P1001</v>
      </c>
      <c r="D12" t="s">
        <v>27</v>
      </c>
      <c r="E12" s="5" t="s">
        <v>29</v>
      </c>
      <c r="F12" t="str">
        <f t="shared" si="1"/>
        <v>Joe Carol</v>
      </c>
      <c r="G12" t="str">
        <f t="shared" si="2"/>
        <v>jcarol@zenco.com</v>
      </c>
      <c r="H12" s="1">
        <v>36923</v>
      </c>
      <c r="I12" s="2" t="s">
        <v>28</v>
      </c>
      <c r="J12" s="2" t="s">
        <v>90</v>
      </c>
      <c r="K12" s="2">
        <f t="shared" si="3"/>
        <v>1</v>
      </c>
      <c r="L12" t="str">
        <f t="shared" si="4"/>
        <v>East</v>
      </c>
      <c r="M12" t="str">
        <f t="shared" si="5"/>
        <v>2321 </v>
      </c>
    </row>
    <row r="13" spans="1:13" x14ac:dyDescent="0.25">
      <c r="A13" s="10">
        <v>1224</v>
      </c>
      <c r="B13" t="s">
        <v>127</v>
      </c>
      <c r="C13" t="str">
        <f t="shared" si="0"/>
        <v>F1224</v>
      </c>
      <c r="D13" t="s">
        <v>10</v>
      </c>
      <c r="E13" s="5" t="s">
        <v>36</v>
      </c>
      <c r="F13" t="str">
        <f t="shared" si="1"/>
        <v>Jim Chaffee</v>
      </c>
      <c r="G13" t="str">
        <f t="shared" si="2"/>
        <v>jchaffee@zenco.com</v>
      </c>
      <c r="H13" s="1">
        <v>41787</v>
      </c>
      <c r="I13" s="2" t="s">
        <v>12</v>
      </c>
      <c r="J13" s="2" t="s">
        <v>91</v>
      </c>
      <c r="K13" s="2">
        <f t="shared" si="3"/>
        <v>3</v>
      </c>
      <c r="L13" t="str">
        <f t="shared" si="4"/>
        <v>West</v>
      </c>
      <c r="M13" t="str">
        <f t="shared" si="5"/>
        <v>2432 </v>
      </c>
    </row>
    <row r="14" spans="1:13" x14ac:dyDescent="0.25">
      <c r="A14" s="10">
        <v>1203</v>
      </c>
      <c r="B14" t="s">
        <v>128</v>
      </c>
      <c r="C14" t="str">
        <f t="shared" si="0"/>
        <v>P1203</v>
      </c>
      <c r="D14" t="s">
        <v>45</v>
      </c>
      <c r="E14" s="5" t="s">
        <v>44</v>
      </c>
      <c r="F14" t="str">
        <f t="shared" si="1"/>
        <v>Samantha Chairs</v>
      </c>
      <c r="G14" t="str">
        <f t="shared" si="2"/>
        <v>schairs@zenco.com</v>
      </c>
      <c r="H14" s="1">
        <v>40595</v>
      </c>
      <c r="I14" s="2" t="s">
        <v>69</v>
      </c>
      <c r="J14" s="2" t="s">
        <v>92</v>
      </c>
      <c r="K14" s="2">
        <f t="shared" si="3"/>
        <v>2</v>
      </c>
      <c r="L14" t="str">
        <f t="shared" si="4"/>
        <v>West</v>
      </c>
      <c r="M14" t="str">
        <f t="shared" si="5"/>
        <v>2962 </v>
      </c>
    </row>
    <row r="15" spans="1:13" x14ac:dyDescent="0.25">
      <c r="A15" s="10">
        <v>1211</v>
      </c>
      <c r="B15" t="s">
        <v>128</v>
      </c>
      <c r="C15" t="str">
        <f t="shared" si="0"/>
        <v>P1211</v>
      </c>
      <c r="D15" t="s">
        <v>79</v>
      </c>
      <c r="E15" s="5" t="s">
        <v>78</v>
      </c>
      <c r="F15" t="str">
        <f t="shared" si="1"/>
        <v>Uma Chaudri</v>
      </c>
      <c r="G15" t="str">
        <f t="shared" si="2"/>
        <v>uchaudri@zenco.com</v>
      </c>
      <c r="H15" s="1">
        <v>40994</v>
      </c>
      <c r="I15" s="2" t="s">
        <v>17</v>
      </c>
      <c r="J15" s="2" t="s">
        <v>116</v>
      </c>
      <c r="K15" s="2">
        <f t="shared" si="3"/>
        <v>3</v>
      </c>
      <c r="L15" t="str">
        <f t="shared" si="4"/>
        <v>East</v>
      </c>
      <c r="M15" t="str">
        <f t="shared" si="5"/>
        <v>2134 _x001F_</v>
      </c>
    </row>
    <row r="16" spans="1:13" x14ac:dyDescent="0.25">
      <c r="A16" s="10">
        <v>1198</v>
      </c>
      <c r="B16" t="s">
        <v>128</v>
      </c>
      <c r="C16" t="str">
        <f t="shared" si="0"/>
        <v>P1198</v>
      </c>
      <c r="D16" t="s">
        <v>37</v>
      </c>
      <c r="E16" s="5" t="s">
        <v>16</v>
      </c>
      <c r="F16" t="str">
        <f t="shared" si="1"/>
        <v>Elizabeth Chu</v>
      </c>
      <c r="G16" t="str">
        <f t="shared" si="2"/>
        <v>echu@zenco.com</v>
      </c>
      <c r="H16" s="1">
        <v>40220</v>
      </c>
      <c r="I16" s="2" t="s">
        <v>77</v>
      </c>
      <c r="J16" s="2" t="s">
        <v>93</v>
      </c>
      <c r="K16" s="2">
        <f t="shared" si="3"/>
        <v>1</v>
      </c>
      <c r="L16" t="str">
        <f t="shared" si="4"/>
        <v>West</v>
      </c>
      <c r="M16" t="str">
        <f t="shared" si="5"/>
        <v>2425 </v>
      </c>
    </row>
    <row r="17" spans="1:13" x14ac:dyDescent="0.25">
      <c r="A17" s="10">
        <v>1003</v>
      </c>
      <c r="B17" t="s">
        <v>127</v>
      </c>
      <c r="C17" t="str">
        <f>B17&amp;A17</f>
        <v>F1003</v>
      </c>
      <c r="D17" t="s">
        <v>20</v>
      </c>
      <c r="E17" s="5" t="s">
        <v>70</v>
      </c>
      <c r="F17" t="str">
        <f t="shared" si="1"/>
        <v>Eric Chung</v>
      </c>
      <c r="G17" t="str">
        <f t="shared" si="2"/>
        <v>echung@zenco.com</v>
      </c>
      <c r="H17" s="1">
        <v>36949</v>
      </c>
      <c r="I17" s="2" t="s">
        <v>77</v>
      </c>
      <c r="J17" s="2" t="s">
        <v>94</v>
      </c>
      <c r="K17" s="2">
        <f t="shared" si="3"/>
        <v>3</v>
      </c>
      <c r="L17" t="str">
        <f t="shared" si="4"/>
        <v>West</v>
      </c>
      <c r="M17" t="str">
        <f>TEXT(RIGHT(J17,LEN(J17)-FIND("-",J17,FIND("-",J17)+1)),"0000")</f>
        <v>2796 </v>
      </c>
    </row>
    <row r="18" spans="1:13" x14ac:dyDescent="0.25">
      <c r="A18" s="10">
        <v>1235</v>
      </c>
      <c r="B18" t="s">
        <v>127</v>
      </c>
      <c r="C18" t="str">
        <f t="shared" si="0"/>
        <v>F1235</v>
      </c>
      <c r="D18" t="s">
        <v>24</v>
      </c>
      <c r="E18" s="5" t="s">
        <v>73</v>
      </c>
      <c r="F18" t="str">
        <f t="shared" si="1"/>
        <v>Anna Clark</v>
      </c>
      <c r="G18" t="str">
        <f t="shared" si="2"/>
        <v>aclark@zenco.com</v>
      </c>
      <c r="H18" s="1">
        <v>41989</v>
      </c>
      <c r="I18" s="2" t="s">
        <v>15</v>
      </c>
      <c r="J18" s="2" t="s">
        <v>95</v>
      </c>
      <c r="K18" s="2">
        <f t="shared" si="3"/>
        <v>3</v>
      </c>
      <c r="L18" t="str">
        <f t="shared" si="4"/>
        <v>West</v>
      </c>
      <c r="M18" t="str">
        <f t="shared" si="5"/>
        <v>2601 </v>
      </c>
    </row>
    <row r="19" spans="1:13" x14ac:dyDescent="0.25">
      <c r="A19" s="10">
        <v>1253</v>
      </c>
      <c r="B19" t="s">
        <v>128</v>
      </c>
      <c r="C19" t="str">
        <f t="shared" si="0"/>
        <v>P1253</v>
      </c>
      <c r="D19" t="s">
        <v>24</v>
      </c>
      <c r="E19" s="5" t="s">
        <v>76</v>
      </c>
      <c r="F19" t="str">
        <f t="shared" si="1"/>
        <v>Elizabeth Clark</v>
      </c>
      <c r="G19" t="str">
        <f t="shared" si="2"/>
        <v>eclark@zenco.com</v>
      </c>
      <c r="H19" s="1">
        <v>42905</v>
      </c>
      <c r="I19" s="2" t="s">
        <v>30</v>
      </c>
      <c r="J19" s="2" t="s">
        <v>96</v>
      </c>
      <c r="K19" s="2">
        <f t="shared" si="3"/>
        <v>2</v>
      </c>
      <c r="L19" t="str">
        <f t="shared" si="4"/>
        <v>North</v>
      </c>
      <c r="M19" t="str">
        <f t="shared" si="5"/>
        <v>2414 </v>
      </c>
    </row>
    <row r="20" spans="1:13" x14ac:dyDescent="0.25">
      <c r="A20" s="10">
        <v>1221</v>
      </c>
      <c r="B20" t="s">
        <v>128</v>
      </c>
      <c r="C20" t="str">
        <f t="shared" si="0"/>
        <v>P1221</v>
      </c>
      <c r="D20" t="s">
        <v>8</v>
      </c>
      <c r="E20" s="5" t="s">
        <v>23</v>
      </c>
      <c r="F20" t="str">
        <f t="shared" si="1"/>
        <v>Sabrina Cole</v>
      </c>
      <c r="G20" t="str">
        <f t="shared" si="2"/>
        <v>scole@zenco.com</v>
      </c>
      <c r="H20" s="1">
        <v>41401</v>
      </c>
      <c r="I20" s="2" t="s">
        <v>30</v>
      </c>
      <c r="J20" s="2" t="s">
        <v>97</v>
      </c>
      <c r="K20" s="2">
        <f t="shared" si="3"/>
        <v>2</v>
      </c>
      <c r="L20" t="str">
        <f t="shared" si="4"/>
        <v>West</v>
      </c>
      <c r="M20" t="str">
        <f t="shared" si="5"/>
        <v>2537 </v>
      </c>
    </row>
    <row r="21" spans="1:13" x14ac:dyDescent="0.25">
      <c r="A21" s="10">
        <v>1186</v>
      </c>
      <c r="B21" t="s">
        <v>127</v>
      </c>
      <c r="C21" t="str">
        <f t="shared" si="0"/>
        <v>F1186</v>
      </c>
      <c r="D21" t="s">
        <v>31</v>
      </c>
      <c r="E21" s="5" t="s">
        <v>19</v>
      </c>
      <c r="F21" t="str">
        <f t="shared" si="1"/>
        <v>Janet Comuntzis</v>
      </c>
      <c r="G21" t="str">
        <f t="shared" si="2"/>
        <v>jcomuntzis@zenco.com</v>
      </c>
      <c r="H21" s="1">
        <v>39686</v>
      </c>
      <c r="I21" s="2" t="s">
        <v>30</v>
      </c>
      <c r="J21" s="2" t="s">
        <v>98</v>
      </c>
      <c r="K21" s="2">
        <f t="shared" si="3"/>
        <v>2</v>
      </c>
      <c r="L21" t="str">
        <f t="shared" si="4"/>
        <v>West</v>
      </c>
      <c r="M21" t="str">
        <f t="shared" si="5"/>
        <v>2286 </v>
      </c>
    </row>
    <row r="22" spans="1:13" x14ac:dyDescent="0.25">
      <c r="A22" s="10">
        <v>1218</v>
      </c>
      <c r="B22" t="s">
        <v>128</v>
      </c>
      <c r="C22" t="str">
        <f t="shared" si="0"/>
        <v>P1218</v>
      </c>
      <c r="D22" t="s">
        <v>6</v>
      </c>
      <c r="E22" s="5" t="s">
        <v>21</v>
      </c>
      <c r="F22" t="str">
        <f>PROPER(E22&amp;" "&amp;D22)</f>
        <v>Bob Decker</v>
      </c>
      <c r="G22" t="str">
        <f t="shared" si="2"/>
        <v>bdecker@zenco.com</v>
      </c>
      <c r="H22" s="1">
        <v>41210</v>
      </c>
      <c r="I22" s="2" t="s">
        <v>77</v>
      </c>
      <c r="J22" s="2" t="s">
        <v>117</v>
      </c>
      <c r="K22" s="2">
        <f t="shared" si="3"/>
        <v>1</v>
      </c>
      <c r="L22" t="str">
        <f>SUBSTITUTE(
 MID(J22,FIND("-",J22)+1,FIND("-",J22,FIND("-",J22)+1)-FIND("-",J22)-1),
 "NorthEast","North"
)</f>
        <v>East</v>
      </c>
      <c r="M22" t="str">
        <f t="shared" si="5"/>
        <v>2086 _x001F_</v>
      </c>
    </row>
    <row r="23" spans="1:13" x14ac:dyDescent="0.25">
      <c r="A23" s="10">
        <v>1215</v>
      </c>
      <c r="B23" t="s">
        <v>127</v>
      </c>
      <c r="C23" t="str">
        <f t="shared" si="0"/>
        <v>F1215</v>
      </c>
      <c r="D23" t="s">
        <v>40</v>
      </c>
      <c r="E23" s="5" t="s">
        <v>42</v>
      </c>
      <c r="F23" t="str">
        <f t="shared" si="1"/>
        <v>Tina Desiato</v>
      </c>
      <c r="G23" t="str">
        <f>LOWER(LEFT(E23,1)&amp;D23&amp;"@zenco.com")</f>
        <v>tdesiato@zenco.com</v>
      </c>
      <c r="H23" s="1">
        <v>41175</v>
      </c>
      <c r="I23" t="s">
        <v>77</v>
      </c>
      <c r="J23" s="2" t="s">
        <v>99</v>
      </c>
      <c r="K23" s="2">
        <f>--LEFT(J23,2)</f>
        <v>1</v>
      </c>
      <c r="L23" t="str">
        <f t="shared" si="4"/>
        <v>East</v>
      </c>
      <c r="M23" t="str">
        <f t="shared" si="5"/>
        <v>2358 </v>
      </c>
    </row>
    <row r="24" spans="1:13" x14ac:dyDescent="0.25">
      <c r="A24" s="10">
        <v>1241</v>
      </c>
      <c r="B24" t="s">
        <v>128</v>
      </c>
      <c r="C24" t="str">
        <f t="shared" si="0"/>
        <v>P1241</v>
      </c>
      <c r="D24" t="s">
        <v>13</v>
      </c>
      <c r="E24" s="5" t="s">
        <v>34</v>
      </c>
      <c r="F24" t="str">
        <f t="shared" si="1"/>
        <v>Alexandra Donnell</v>
      </c>
      <c r="G24" t="str">
        <f t="shared" si="2"/>
        <v>adonnell@zenco.com</v>
      </c>
      <c r="H24" s="1">
        <v>42228</v>
      </c>
      <c r="I24" s="2" t="s">
        <v>15</v>
      </c>
      <c r="J24" s="2" t="s">
        <v>100</v>
      </c>
      <c r="K24" s="2">
        <f t="shared" si="3"/>
        <v>3</v>
      </c>
      <c r="L24" t="str">
        <f t="shared" si="4"/>
        <v>West</v>
      </c>
      <c r="M24" t="str">
        <f t="shared" si="5"/>
        <v>2082 </v>
      </c>
    </row>
    <row r="25" spans="1:13" x14ac:dyDescent="0.25">
      <c r="A25" s="10">
        <v>1246</v>
      </c>
      <c r="B25" t="s">
        <v>127</v>
      </c>
      <c r="C25" t="str">
        <f t="shared" si="0"/>
        <v>F1246</v>
      </c>
      <c r="D25" t="s">
        <v>18</v>
      </c>
      <c r="E25" s="5" t="s">
        <v>32</v>
      </c>
      <c r="F25" t="str">
        <f t="shared" si="1"/>
        <v>Mark Ellis</v>
      </c>
      <c r="G25" t="str">
        <f t="shared" si="2"/>
        <v>mellis@zenco.com</v>
      </c>
      <c r="H25" s="1">
        <v>42371</v>
      </c>
      <c r="I25" s="2" t="s">
        <v>77</v>
      </c>
      <c r="J25" s="2" t="s">
        <v>101</v>
      </c>
      <c r="K25" s="2">
        <f t="shared" si="3"/>
        <v>3</v>
      </c>
      <c r="L25" t="str">
        <f t="shared" si="4"/>
        <v>North</v>
      </c>
      <c r="M25" t="str">
        <f t="shared" si="5"/>
        <v>2482 </v>
      </c>
    </row>
    <row r="26" spans="1:13" x14ac:dyDescent="0.25">
      <c r="A26" s="10">
        <v>1172</v>
      </c>
      <c r="B26" t="s">
        <v>127</v>
      </c>
      <c r="C26" t="str">
        <f t="shared" si="0"/>
        <v>F1172</v>
      </c>
      <c r="D26" t="s">
        <v>64</v>
      </c>
      <c r="E26" s="5" t="s">
        <v>63</v>
      </c>
      <c r="F26" t="str">
        <f t="shared" si="1"/>
        <v>Nicholas Fernandes</v>
      </c>
      <c r="G26" t="str">
        <f t="shared" si="2"/>
        <v>nfernandes@zenco.com</v>
      </c>
      <c r="H26" s="1">
        <v>39023</v>
      </c>
      <c r="I26" s="2" t="s">
        <v>15</v>
      </c>
      <c r="J26" s="2" t="s">
        <v>102</v>
      </c>
      <c r="K26" s="2">
        <f t="shared" si="3"/>
        <v>2</v>
      </c>
      <c r="L26" t="str">
        <f t="shared" si="4"/>
        <v>East</v>
      </c>
      <c r="M26" t="str">
        <f>TEXT(RIGHT(J26,LEN(J26)-FIND("-",J26,FIND("-",J26)+1)),"0000")</f>
        <v>2372 </v>
      </c>
    </row>
    <row r="27" spans="1:13" x14ac:dyDescent="0.25">
      <c r="A27" s="10">
        <v>1134</v>
      </c>
      <c r="B27" t="s">
        <v>127</v>
      </c>
      <c r="C27" t="str">
        <f t="shared" si="0"/>
        <v>F1134</v>
      </c>
      <c r="D27" t="s">
        <v>35</v>
      </c>
      <c r="E27" s="5" t="s">
        <v>26</v>
      </c>
      <c r="F27" t="str">
        <f t="shared" si="1"/>
        <v>Mary Ferris</v>
      </c>
      <c r="G27" t="str">
        <f t="shared" si="2"/>
        <v>mferris@zenco.com</v>
      </c>
      <c r="H27" s="1">
        <v>38548</v>
      </c>
      <c r="I27" s="2" t="s">
        <v>69</v>
      </c>
      <c r="J27" s="2" t="s">
        <v>103</v>
      </c>
      <c r="K27" s="2">
        <f t="shared" si="3"/>
        <v>3</v>
      </c>
      <c r="L27" t="str">
        <f t="shared" si="4"/>
        <v>East</v>
      </c>
      <c r="M27" t="str">
        <f t="shared" si="5"/>
        <v>2392 </v>
      </c>
    </row>
    <row r="28" spans="1:13" x14ac:dyDescent="0.25">
      <c r="A28" s="10">
        <v>1150</v>
      </c>
      <c r="B28" t="s">
        <v>127</v>
      </c>
      <c r="C28" t="str">
        <f t="shared" si="0"/>
        <v>F1150</v>
      </c>
      <c r="D28" t="s">
        <v>33</v>
      </c>
      <c r="E28" s="5" t="s">
        <v>14</v>
      </c>
      <c r="F28" t="str">
        <f t="shared" si="1"/>
        <v>Susan Filosa</v>
      </c>
      <c r="G28" t="str">
        <f t="shared" si="2"/>
        <v>sfilosa@zenco.com</v>
      </c>
      <c r="H28" s="1">
        <v>38744</v>
      </c>
      <c r="I28" s="2" t="s">
        <v>30</v>
      </c>
      <c r="J28" s="2" t="s">
        <v>104</v>
      </c>
      <c r="K28" s="2">
        <f t="shared" si="3"/>
        <v>2</v>
      </c>
      <c r="L28" t="str">
        <f t="shared" si="4"/>
        <v>West</v>
      </c>
      <c r="M28" t="str">
        <f t="shared" si="5"/>
        <v>2279 </v>
      </c>
    </row>
    <row r="29" spans="1:13" x14ac:dyDescent="0.25">
      <c r="A29" s="10">
        <v>1004</v>
      </c>
      <c r="B29" t="s">
        <v>128</v>
      </c>
      <c r="C29" t="str">
        <f>B29&amp;A29</f>
        <v>P1004</v>
      </c>
      <c r="D29" t="s">
        <v>22</v>
      </c>
      <c r="E29" s="5" t="s">
        <v>9</v>
      </c>
      <c r="F29" t="str">
        <f t="shared" si="1"/>
        <v>Daniel Flanders</v>
      </c>
      <c r="G29" t="str">
        <f t="shared" si="2"/>
        <v>dflanders@zenco.com</v>
      </c>
      <c r="H29" s="1">
        <v>37510</v>
      </c>
      <c r="I29" s="2" t="s">
        <v>69</v>
      </c>
      <c r="J29" s="2" t="s">
        <v>105</v>
      </c>
      <c r="K29" s="2">
        <f t="shared" si="3"/>
        <v>2</v>
      </c>
      <c r="L29" t="str">
        <f t="shared" si="4"/>
        <v>East</v>
      </c>
      <c r="M29" t="str">
        <f t="shared" si="5"/>
        <v>2639 </v>
      </c>
    </row>
    <row r="30" spans="1:13" x14ac:dyDescent="0.25">
      <c r="A30" s="10">
        <v>1239</v>
      </c>
      <c r="B30" t="s">
        <v>127</v>
      </c>
      <c r="C30" t="str">
        <f t="shared" si="0"/>
        <v>F1239</v>
      </c>
      <c r="D30" t="s">
        <v>51</v>
      </c>
      <c r="E30" s="5" t="s">
        <v>50</v>
      </c>
      <c r="F30" t="str">
        <f t="shared" si="1"/>
        <v>Leighton Forrest</v>
      </c>
      <c r="G30" t="str">
        <f t="shared" si="2"/>
        <v>lforrest@zenco.com</v>
      </c>
      <c r="H30" s="1">
        <v>42120</v>
      </c>
      <c r="I30" s="2" t="s">
        <v>69</v>
      </c>
      <c r="J30" s="2" t="s">
        <v>106</v>
      </c>
      <c r="K30" s="2">
        <f t="shared" si="3"/>
        <v>2</v>
      </c>
      <c r="L30" t="str">
        <f t="shared" si="4"/>
        <v>East</v>
      </c>
      <c r="M30" t="str">
        <f t="shared" si="5"/>
        <v>2284 </v>
      </c>
    </row>
    <row r="31" spans="1:13" x14ac:dyDescent="0.25">
      <c r="A31" s="10">
        <v>1250</v>
      </c>
      <c r="B31" t="s">
        <v>127</v>
      </c>
      <c r="C31" t="str">
        <f t="shared" si="0"/>
        <v>F1250</v>
      </c>
      <c r="D31" t="s">
        <v>49</v>
      </c>
      <c r="E31" s="5" t="s">
        <v>48</v>
      </c>
      <c r="F31" t="str">
        <f t="shared" si="1"/>
        <v>Phoebe Gour</v>
      </c>
      <c r="G31" t="str">
        <f t="shared" si="2"/>
        <v>pgour@zenco.com</v>
      </c>
      <c r="H31" s="1">
        <v>42721</v>
      </c>
      <c r="I31" s="2" t="s">
        <v>69</v>
      </c>
      <c r="J31" s="2" t="s">
        <v>107</v>
      </c>
      <c r="K31" s="2">
        <f t="shared" si="3"/>
        <v>2</v>
      </c>
      <c r="L31" t="str">
        <f t="shared" si="4"/>
        <v>East</v>
      </c>
      <c r="M31" t="str">
        <f t="shared" si="5"/>
        <v>2910 </v>
      </c>
    </row>
    <row r="32" spans="1:13" x14ac:dyDescent="0.25">
      <c r="A32" s="10">
        <v>1192</v>
      </c>
      <c r="B32" t="s">
        <v>128</v>
      </c>
      <c r="C32" t="str">
        <f t="shared" si="0"/>
        <v>P1192</v>
      </c>
      <c r="D32" t="s">
        <v>47</v>
      </c>
      <c r="E32" s="5" t="s">
        <v>46</v>
      </c>
      <c r="F32" t="str">
        <f>PROPER(E32&amp;" "&amp;D32)</f>
        <v>Mihael Khan</v>
      </c>
      <c r="G32" t="str">
        <f t="shared" si="2"/>
        <v>mkhan@zenco.com</v>
      </c>
      <c r="H32" s="1">
        <v>40160</v>
      </c>
      <c r="I32" s="2" t="s">
        <v>69</v>
      </c>
      <c r="J32" s="2" t="s">
        <v>108</v>
      </c>
      <c r="K32" s="2">
        <f t="shared" si="3"/>
        <v>2</v>
      </c>
      <c r="L32" t="str">
        <f t="shared" si="4"/>
        <v>North</v>
      </c>
      <c r="M32" t="str">
        <f t="shared" si="5"/>
        <v>2294 </v>
      </c>
    </row>
    <row r="33" spans="1:13" x14ac:dyDescent="0.25">
      <c r="A33" s="10">
        <v>1249</v>
      </c>
      <c r="B33" t="s">
        <v>128</v>
      </c>
      <c r="C33" t="str">
        <f t="shared" si="0"/>
        <v>P1249</v>
      </c>
      <c r="D33" t="s">
        <v>75</v>
      </c>
      <c r="E33" s="5" t="s">
        <v>74</v>
      </c>
      <c r="F33" t="str">
        <f t="shared" si="1"/>
        <v>Sean Sanders</v>
      </c>
      <c r="G33" t="str">
        <f>LOWER(LEFT(E33,1)&amp;D33&amp;"@zenco.com")</f>
        <v>ssanders@zenco.com</v>
      </c>
      <c r="H33" s="1">
        <v>42691</v>
      </c>
      <c r="I33" s="2" t="s">
        <v>17</v>
      </c>
      <c r="J33" s="2" t="s">
        <v>109</v>
      </c>
      <c r="K33" s="2">
        <f t="shared" si="3"/>
        <v>3</v>
      </c>
      <c r="L33" t="str">
        <f t="shared" si="4"/>
        <v>West</v>
      </c>
      <c r="M33" t="str">
        <f t="shared" si="5"/>
        <v>2765 </v>
      </c>
    </row>
    <row r="34" spans="1:13" x14ac:dyDescent="0.25">
      <c r="A34" s="10">
        <v>1245</v>
      </c>
      <c r="B34" t="s">
        <v>128</v>
      </c>
      <c r="C34" t="str">
        <f t="shared" si="0"/>
        <v>P1245</v>
      </c>
      <c r="D34" t="s">
        <v>68</v>
      </c>
      <c r="E34" s="5" t="s">
        <v>67</v>
      </c>
      <c r="F34" t="str">
        <f t="shared" si="1"/>
        <v>Preston Senome</v>
      </c>
      <c r="G34" t="str">
        <f t="shared" si="2"/>
        <v>psenome@zenco.com</v>
      </c>
      <c r="H34" s="1">
        <v>42324</v>
      </c>
      <c r="I34" s="2" t="s">
        <v>69</v>
      </c>
      <c r="J34" s="2" t="s">
        <v>110</v>
      </c>
      <c r="K34" s="2">
        <f>--LEFT(J34,2)</f>
        <v>2</v>
      </c>
      <c r="L34" t="str">
        <f>SUBSTITUTE(
 MID(J34,FIND("-",J34)+1,FIND("-",J34,FIND("-",J34)+1)-FIND("-",J34)-1),
 "NorthEast","North"
)</f>
        <v>East</v>
      </c>
      <c r="M34" t="str">
        <f t="shared" si="5"/>
        <v>2260 </v>
      </c>
    </row>
    <row r="35" spans="1:13" x14ac:dyDescent="0.25">
      <c r="A35" s="10">
        <v>1207</v>
      </c>
      <c r="B35" t="s">
        <v>128</v>
      </c>
      <c r="C35" t="str">
        <f t="shared" si="0"/>
        <v>P1207</v>
      </c>
      <c r="D35" t="s">
        <v>53</v>
      </c>
      <c r="E35" s="5" t="s">
        <v>52</v>
      </c>
      <c r="F35" t="str">
        <f t="shared" si="1"/>
        <v>Natasha Song</v>
      </c>
      <c r="G35" t="str">
        <f t="shared" si="2"/>
        <v>nsong@zenco.com</v>
      </c>
      <c r="H35" s="1">
        <v>40713</v>
      </c>
      <c r="I35" s="2" t="s">
        <v>69</v>
      </c>
      <c r="J35" s="2" t="s">
        <v>111</v>
      </c>
      <c r="K35" s="2">
        <f t="shared" si="3"/>
        <v>2</v>
      </c>
      <c r="L35" t="str">
        <f t="shared" si="4"/>
        <v>East</v>
      </c>
      <c r="M35" t="str">
        <f t="shared" si="5"/>
        <v>2578 </v>
      </c>
    </row>
    <row r="36" spans="1:13" x14ac:dyDescent="0.25">
      <c r="A36" s="10">
        <v>1244</v>
      </c>
      <c r="B36" t="s">
        <v>128</v>
      </c>
      <c r="C36" t="str">
        <f t="shared" si="0"/>
        <v>P1244</v>
      </c>
      <c r="D36" t="s">
        <v>66</v>
      </c>
      <c r="E36" s="5" t="s">
        <v>65</v>
      </c>
      <c r="F36" t="str">
        <f t="shared" si="1"/>
        <v>Radhya Staples</v>
      </c>
      <c r="G36" t="str">
        <f t="shared" si="2"/>
        <v>rstaples@zenco.com</v>
      </c>
      <c r="H36" s="1">
        <v>42321</v>
      </c>
      <c r="I36" s="2" t="s">
        <v>69</v>
      </c>
      <c r="J36" s="2" t="s">
        <v>112</v>
      </c>
      <c r="K36" s="2">
        <f t="shared" si="3"/>
        <v>2</v>
      </c>
      <c r="L36" t="str">
        <f t="shared" si="4"/>
        <v>East</v>
      </c>
      <c r="M36" t="str">
        <f t="shared" si="5"/>
        <v>2654 </v>
      </c>
    </row>
    <row r="37" spans="1:13" x14ac:dyDescent="0.25">
      <c r="A37" s="10">
        <v>1252</v>
      </c>
      <c r="B37" t="s">
        <v>127</v>
      </c>
      <c r="C37" t="str">
        <f t="shared" si="0"/>
        <v>F1252</v>
      </c>
      <c r="D37" t="s">
        <v>72</v>
      </c>
      <c r="E37" s="5" t="s">
        <v>71</v>
      </c>
      <c r="F37" t="str">
        <f t="shared" si="1"/>
        <v>Mei Wang</v>
      </c>
      <c r="G37" t="str">
        <f t="shared" si="2"/>
        <v>mwang@zenco.com</v>
      </c>
      <c r="H37" s="1">
        <v>40188</v>
      </c>
      <c r="I37" s="2" t="s">
        <v>28</v>
      </c>
      <c r="J37" s="2" t="s">
        <v>113</v>
      </c>
      <c r="K37" s="2">
        <f t="shared" si="3"/>
        <v>1</v>
      </c>
      <c r="L37" t="str">
        <f t="shared" si="4"/>
        <v>West</v>
      </c>
      <c r="M37" t="str">
        <f t="shared" si="5"/>
        <v>2783 </v>
      </c>
    </row>
    <row r="38" spans="1:13" x14ac:dyDescent="0.25">
      <c r="A38" s="10">
        <v>1237</v>
      </c>
      <c r="B38" t="s">
        <v>127</v>
      </c>
      <c r="C38" t="str">
        <f t="shared" si="0"/>
        <v>F1237</v>
      </c>
      <c r="D38" t="s">
        <v>55</v>
      </c>
      <c r="E38" s="5" t="s">
        <v>54</v>
      </c>
      <c r="F38" t="str">
        <f t="shared" si="1"/>
        <v>Aanya Zhang</v>
      </c>
      <c r="G38" t="str">
        <f t="shared" si="2"/>
        <v>azhang@zenco.com</v>
      </c>
      <c r="H38" s="1">
        <v>42002</v>
      </c>
      <c r="I38" s="2" t="s">
        <v>69</v>
      </c>
      <c r="J38" s="2" t="s">
        <v>114</v>
      </c>
      <c r="K38" s="2">
        <f t="shared" si="3"/>
        <v>2</v>
      </c>
      <c r="L38" t="str">
        <f t="shared" si="4"/>
        <v>East</v>
      </c>
      <c r="M38" t="str">
        <f t="shared" si="5"/>
        <v>2793 </v>
      </c>
    </row>
  </sheetData>
  <sortState xmlns:xlrd2="http://schemas.microsoft.com/office/spreadsheetml/2017/richdata2" ref="A4:J38">
    <sortCondition ref="D6"/>
  </sortState>
  <pageMargins left="0.7" right="0.7" top="0.75" bottom="0.75" header="0.3" footer="0.3"/>
  <pageSetup paperSize="9" orientation="portrait" horizontalDpi="75" verticalDpi="7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5CF55-8002-4E88-9FB1-6032585AF353}">
  <sheetPr codeName="Sheet4">
    <pageSetUpPr fitToPage="1"/>
  </sheetPr>
  <dimension ref="A1:H35"/>
  <sheetViews>
    <sheetView showGridLines="0" tabSelected="1" workbookViewId="0">
      <selection activeCell="D9" sqref="D9"/>
    </sheetView>
  </sheetViews>
  <sheetFormatPr defaultRowHeight="15" x14ac:dyDescent="0.25"/>
  <cols>
    <col min="1" max="1" width="34.140625" style="17" customWidth="1"/>
    <col min="2" max="2" width="32.85546875" style="17" customWidth="1"/>
    <col min="3" max="3" width="9.140625" style="17"/>
    <col min="4" max="4" width="29.5703125" style="18" customWidth="1"/>
    <col min="5" max="5" width="9" style="17" customWidth="1"/>
    <col min="6" max="6" width="14.5703125" style="18" customWidth="1"/>
    <col min="7" max="7" width="9.140625" style="17"/>
    <col min="8" max="8" width="18.7109375" style="18" customWidth="1"/>
    <col min="9" max="16384" width="9.140625" style="17"/>
  </cols>
  <sheetData>
    <row r="1" spans="1:8" ht="33.75" x14ac:dyDescent="0.5">
      <c r="A1" s="16"/>
      <c r="B1" s="16"/>
      <c r="C1" s="21"/>
      <c r="D1" s="23" t="s">
        <v>156</v>
      </c>
      <c r="E1" s="21"/>
      <c r="F1" s="19"/>
    </row>
    <row r="5" spans="1:8" ht="21" x14ac:dyDescent="0.35">
      <c r="A5" s="20"/>
      <c r="B5" s="22" t="s">
        <v>152</v>
      </c>
      <c r="D5" s="22" t="s">
        <v>153</v>
      </c>
      <c r="F5" s="22" t="s">
        <v>154</v>
      </c>
      <c r="H5" s="22" t="s">
        <v>155</v>
      </c>
    </row>
    <row r="6" spans="1:8" x14ac:dyDescent="0.25">
      <c r="A6" s="18"/>
      <c r="B6" s="18">
        <f>COUNTA('HR Data'!A4:A1000)</f>
        <v>35</v>
      </c>
      <c r="D6" s="18">
        <f>COUNTIF('HR Data'!B4:B1000,"F")</f>
        <v>17</v>
      </c>
      <c r="F6" s="18">
        <f>COUNTIF('HR Data'!B4:B1000,"P")</f>
        <v>18</v>
      </c>
      <c r="H6" s="18">
        <f>AVERAGE('HR Data'!K4:K41)</f>
        <v>2.1428571428571428</v>
      </c>
    </row>
    <row r="7" spans="1:8" x14ac:dyDescent="0.25">
      <c r="A7" s="18"/>
      <c r="B7" s="18"/>
    </row>
    <row r="8" spans="1:8" x14ac:dyDescent="0.25">
      <c r="A8" s="18"/>
      <c r="B8" s="18"/>
    </row>
    <row r="9" spans="1:8" x14ac:dyDescent="0.25">
      <c r="A9" s="18"/>
      <c r="B9" s="18"/>
    </row>
    <row r="10" spans="1:8" ht="18.75" x14ac:dyDescent="0.3">
      <c r="A10" s="18"/>
      <c r="B10" s="26" t="s">
        <v>167</v>
      </c>
      <c r="H10" s="26" t="s">
        <v>168</v>
      </c>
    </row>
    <row r="33" spans="2:8" ht="21" x14ac:dyDescent="0.35">
      <c r="C33" s="30"/>
      <c r="D33" s="29"/>
      <c r="H33" s="27" t="s">
        <v>169</v>
      </c>
    </row>
    <row r="35" spans="2:8" ht="18.75" x14ac:dyDescent="0.3">
      <c r="B35" s="28" t="s">
        <v>166</v>
      </c>
    </row>
  </sheetData>
  <pageMargins left="0.25" right="0.25" top="0.75" bottom="0.75" header="0.3" footer="0.3"/>
  <pageSetup paperSize="5" scale="64"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Module2.RefreshDashboard">
                <anchor moveWithCells="1">
                  <from>
                    <xdr:col>7</xdr:col>
                    <xdr:colOff>123825</xdr:colOff>
                    <xdr:row>0</xdr:row>
                    <xdr:rowOff>314325</xdr:rowOff>
                  </from>
                  <to>
                    <xdr:col>8</xdr:col>
                    <xdr:colOff>76200</xdr:colOff>
                    <xdr:row>1</xdr:row>
                    <xdr:rowOff>171450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HELPER</vt:lpstr>
      <vt:lpstr>HR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dc:creator>
  <cp:lastModifiedBy>SWAPNA POTHURAJU</cp:lastModifiedBy>
  <cp:lastPrinted>2026-02-05T06:08:01Z</cp:lastPrinted>
  <dcterms:created xsi:type="dcterms:W3CDTF">2017-06-15T06:51:11Z</dcterms:created>
  <dcterms:modified xsi:type="dcterms:W3CDTF">2026-02-05T06:08:12Z</dcterms:modified>
</cp:coreProperties>
</file>